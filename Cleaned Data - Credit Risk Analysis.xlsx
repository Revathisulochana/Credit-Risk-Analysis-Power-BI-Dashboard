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vathi\Power BI\mini project\"/>
    </mc:Choice>
  </mc:AlternateContent>
  <xr:revisionPtr revIDLastSave="0" documentId="13_ncr:1_{75E28A22-610C-4C4E-958F-D6DAA8A3F8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Analysi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2" l="1"/>
  <c r="F35" i="2"/>
  <c r="C35" i="2"/>
  <c r="B35" i="2"/>
  <c r="G34" i="2"/>
  <c r="F34" i="2"/>
  <c r="C34" i="2"/>
  <c r="B34" i="2"/>
  <c r="G29" i="2"/>
  <c r="F29" i="2"/>
  <c r="G28" i="2"/>
  <c r="F28" i="2"/>
  <c r="C28" i="2"/>
  <c r="B28" i="2"/>
  <c r="G27" i="2"/>
  <c r="F27" i="2"/>
  <c r="C27" i="2"/>
  <c r="B27" i="2"/>
  <c r="G26" i="2"/>
  <c r="F26" i="2"/>
  <c r="C26" i="2"/>
  <c r="B26" i="2"/>
  <c r="G25" i="2"/>
  <c r="F25" i="2"/>
  <c r="C25" i="2"/>
  <c r="B25" i="2"/>
  <c r="C20" i="2"/>
  <c r="B20" i="2"/>
  <c r="C19" i="2"/>
  <c r="B19" i="2"/>
  <c r="G18" i="2"/>
  <c r="F18" i="2"/>
  <c r="C18" i="2"/>
  <c r="B18" i="2"/>
  <c r="G17" i="2"/>
  <c r="F17" i="2"/>
  <c r="C17" i="2"/>
  <c r="B17" i="2"/>
  <c r="G16" i="2"/>
  <c r="F16" i="2"/>
  <c r="C16" i="2"/>
  <c r="B16" i="2"/>
  <c r="C12" i="2"/>
  <c r="B12" i="2"/>
  <c r="C11" i="2"/>
  <c r="B11" i="2"/>
  <c r="C10" i="2"/>
  <c r="B10" i="2"/>
  <c r="C9" i="2"/>
  <c r="B9" i="2"/>
  <c r="C8" i="2"/>
  <c r="B8" i="2"/>
  <c r="G7" i="2"/>
  <c r="F7" i="2"/>
  <c r="C7" i="2"/>
  <c r="B7" i="2"/>
  <c r="G6" i="2"/>
  <c r="F6" i="2"/>
  <c r="C6" i="2"/>
  <c r="B6" i="2"/>
  <c r="G5" i="2"/>
  <c r="F5" i="2"/>
  <c r="C5" i="2"/>
  <c r="B5" i="2"/>
  <c r="G4" i="2"/>
  <c r="F4" i="2"/>
  <c r="C4" i="2"/>
  <c r="B4" i="2"/>
  <c r="G3" i="2"/>
  <c r="F3" i="2"/>
  <c r="C3" i="2"/>
  <c r="B3" i="2"/>
</calcChain>
</file>

<file path=xl/sharedStrings.xml><?xml version="1.0" encoding="utf-8"?>
<sst xmlns="http://schemas.openxmlformats.org/spreadsheetml/2006/main" count="13088" uniqueCount="1075">
  <si>
    <t>Loan Id</t>
  </si>
  <si>
    <t>Duration</t>
  </si>
  <si>
    <t>Credit_History</t>
  </si>
  <si>
    <t>Purpose</t>
  </si>
  <si>
    <t>Credit_Amount</t>
  </si>
  <si>
    <t>Savings_Status</t>
  </si>
  <si>
    <t>Employment</t>
  </si>
  <si>
    <t>Installment_Commitment</t>
  </si>
  <si>
    <t>Personal_Status</t>
  </si>
  <si>
    <t>Residence_Since</t>
  </si>
  <si>
    <t>Owne Property</t>
  </si>
  <si>
    <t>Age</t>
  </si>
  <si>
    <t>Other_Payment_Plans</t>
  </si>
  <si>
    <t>Housing</t>
  </si>
  <si>
    <t>Existing_Credits</t>
  </si>
  <si>
    <t>Job</t>
  </si>
  <si>
    <t>Num_Dependents</t>
  </si>
  <si>
    <t>Own_Telephone</t>
  </si>
  <si>
    <t>Foreign_Worker</t>
  </si>
  <si>
    <t>Class</t>
  </si>
  <si>
    <t>LON01</t>
  </si>
  <si>
    <t>Critical/Other Existing Credit</t>
  </si>
  <si>
    <t>Radio/Tv</t>
  </si>
  <si>
    <t>No Savings</t>
  </si>
  <si>
    <t>7 Years</t>
  </si>
  <si>
    <t>Male</t>
  </si>
  <si>
    <t>Real Estate</t>
  </si>
  <si>
    <t>None</t>
  </si>
  <si>
    <t>Own</t>
  </si>
  <si>
    <t>Skilled</t>
  </si>
  <si>
    <t>Yes</t>
  </si>
  <si>
    <t>Good</t>
  </si>
  <si>
    <t>LON02</t>
  </si>
  <si>
    <t>Existing Paid</t>
  </si>
  <si>
    <t>1-4 Years</t>
  </si>
  <si>
    <t>Female</t>
  </si>
  <si>
    <t>LON03</t>
  </si>
  <si>
    <t>Education</t>
  </si>
  <si>
    <t>4-6 Years</t>
  </si>
  <si>
    <t>Unskilled Resident</t>
  </si>
  <si>
    <t>LON04</t>
  </si>
  <si>
    <t>Furniture/Equipment</t>
  </si>
  <si>
    <t>Life Insurance</t>
  </si>
  <si>
    <t>For Free</t>
  </si>
  <si>
    <t>LON05</t>
  </si>
  <si>
    <t>Delayed Previously</t>
  </si>
  <si>
    <t>New Car</t>
  </si>
  <si>
    <t>No Known Property</t>
  </si>
  <si>
    <t>LON06</t>
  </si>
  <si>
    <t>LON07</t>
  </si>
  <si>
    <t>LON08</t>
  </si>
  <si>
    <t>Used Car</t>
  </si>
  <si>
    <t>Car</t>
  </si>
  <si>
    <t>Rent</t>
  </si>
  <si>
    <t>High Qualif/Self Emp/Mgmt</t>
  </si>
  <si>
    <t>LON09</t>
  </si>
  <si>
    <t>LON10</t>
  </si>
  <si>
    <t>Unemployed</t>
  </si>
  <si>
    <t>LON11</t>
  </si>
  <si>
    <t>Below 1Years</t>
  </si>
  <si>
    <t>LON12</t>
  </si>
  <si>
    <t>Business</t>
  </si>
  <si>
    <t>LON13</t>
  </si>
  <si>
    <t>LON14</t>
  </si>
  <si>
    <t>LON15</t>
  </si>
  <si>
    <t>LON16</t>
  </si>
  <si>
    <t>LON17</t>
  </si>
  <si>
    <t>LON18</t>
  </si>
  <si>
    <t>No Credits/All Paid</t>
  </si>
  <si>
    <t>Bank</t>
  </si>
  <si>
    <t>LON19</t>
  </si>
  <si>
    <t>LON20</t>
  </si>
  <si>
    <t>LON21</t>
  </si>
  <si>
    <t>LON22</t>
  </si>
  <si>
    <t>LON23</t>
  </si>
  <si>
    <t>No</t>
  </si>
  <si>
    <t>LON24</t>
  </si>
  <si>
    <t>LON25</t>
  </si>
  <si>
    <t>LON26</t>
  </si>
  <si>
    <t>LON27</t>
  </si>
  <si>
    <t>LON28</t>
  </si>
  <si>
    <t>All Paid</t>
  </si>
  <si>
    <t>LON29</t>
  </si>
  <si>
    <t>LON30</t>
  </si>
  <si>
    <t>LON31</t>
  </si>
  <si>
    <t>LON32</t>
  </si>
  <si>
    <t>Stores</t>
  </si>
  <si>
    <t>LON33</t>
  </si>
  <si>
    <t>LON34</t>
  </si>
  <si>
    <t>LON35</t>
  </si>
  <si>
    <t>LON36</t>
  </si>
  <si>
    <t>LON37</t>
  </si>
  <si>
    <t>LON38</t>
  </si>
  <si>
    <t>LON39</t>
  </si>
  <si>
    <t>Domestic Appliance</t>
  </si>
  <si>
    <t>LON40</t>
  </si>
  <si>
    <t>LON41</t>
  </si>
  <si>
    <t>LON42</t>
  </si>
  <si>
    <t>LON43</t>
  </si>
  <si>
    <t>Repairs</t>
  </si>
  <si>
    <t>LON44</t>
  </si>
  <si>
    <t>LON45</t>
  </si>
  <si>
    <t>LON46</t>
  </si>
  <si>
    <t>LON47</t>
  </si>
  <si>
    <t>LON48</t>
  </si>
  <si>
    <t>Unemp/Unskilled Non Res</t>
  </si>
  <si>
    <t>LON49</t>
  </si>
  <si>
    <t>LON50</t>
  </si>
  <si>
    <t>LON51</t>
  </si>
  <si>
    <t>LON52</t>
  </si>
  <si>
    <t>LON53</t>
  </si>
  <si>
    <t>LON54</t>
  </si>
  <si>
    <t>LON55</t>
  </si>
  <si>
    <t>LON56</t>
  </si>
  <si>
    <t>LON57</t>
  </si>
  <si>
    <t>LON58</t>
  </si>
  <si>
    <t>LON59</t>
  </si>
  <si>
    <t>LON60</t>
  </si>
  <si>
    <t>LON61</t>
  </si>
  <si>
    <t>LON62</t>
  </si>
  <si>
    <t>LON63</t>
  </si>
  <si>
    <t>LON64</t>
  </si>
  <si>
    <t>LON65</t>
  </si>
  <si>
    <t>LON66</t>
  </si>
  <si>
    <t>LON67</t>
  </si>
  <si>
    <t>LON68</t>
  </si>
  <si>
    <t>LON69</t>
  </si>
  <si>
    <t>LON70</t>
  </si>
  <si>
    <t>LON71</t>
  </si>
  <si>
    <t>LON72</t>
  </si>
  <si>
    <t>LON73</t>
  </si>
  <si>
    <t>Other</t>
  </si>
  <si>
    <t>LON74</t>
  </si>
  <si>
    <t>LON75</t>
  </si>
  <si>
    <t>LON76</t>
  </si>
  <si>
    <t>LON77</t>
  </si>
  <si>
    <t>LON78</t>
  </si>
  <si>
    <t>LON79</t>
  </si>
  <si>
    <t>LON80</t>
  </si>
  <si>
    <t>LON81</t>
  </si>
  <si>
    <t>LON82</t>
  </si>
  <si>
    <t>LON83</t>
  </si>
  <si>
    <t>LON84</t>
  </si>
  <si>
    <t>LON85</t>
  </si>
  <si>
    <t>LON86</t>
  </si>
  <si>
    <t>LON87</t>
  </si>
  <si>
    <t>LON88</t>
  </si>
  <si>
    <t>LON89</t>
  </si>
  <si>
    <t>LON90</t>
  </si>
  <si>
    <t>LON91</t>
  </si>
  <si>
    <t>LON92</t>
  </si>
  <si>
    <t>LON93</t>
  </si>
  <si>
    <t>LON94</t>
  </si>
  <si>
    <t>LON95</t>
  </si>
  <si>
    <t>LON96</t>
  </si>
  <si>
    <t>LON97</t>
  </si>
  <si>
    <t>LON98</t>
  </si>
  <si>
    <t>LON99</t>
  </si>
  <si>
    <t>LON100</t>
  </si>
  <si>
    <t>LON101</t>
  </si>
  <si>
    <t>LON102</t>
  </si>
  <si>
    <t>LON103</t>
  </si>
  <si>
    <t>LON104</t>
  </si>
  <si>
    <t>LON105</t>
  </si>
  <si>
    <t>LON106</t>
  </si>
  <si>
    <t>LON107</t>
  </si>
  <si>
    <t>LON108</t>
  </si>
  <si>
    <t>LON109</t>
  </si>
  <si>
    <t>LON110</t>
  </si>
  <si>
    <t>LON111</t>
  </si>
  <si>
    <t>LON112</t>
  </si>
  <si>
    <t>LON113</t>
  </si>
  <si>
    <t>LON114</t>
  </si>
  <si>
    <t>LON115</t>
  </si>
  <si>
    <t>LON116</t>
  </si>
  <si>
    <t>LON117</t>
  </si>
  <si>
    <t>LON118</t>
  </si>
  <si>
    <t>LON119</t>
  </si>
  <si>
    <t>LON120</t>
  </si>
  <si>
    <t>LON121</t>
  </si>
  <si>
    <t>LON122</t>
  </si>
  <si>
    <t>LON123</t>
  </si>
  <si>
    <t>LON124</t>
  </si>
  <si>
    <t>LON125</t>
  </si>
  <si>
    <t>LON126</t>
  </si>
  <si>
    <t>LON127</t>
  </si>
  <si>
    <t>LON128</t>
  </si>
  <si>
    <t>LON129</t>
  </si>
  <si>
    <t>LON130</t>
  </si>
  <si>
    <t>LON131</t>
  </si>
  <si>
    <t>LON132</t>
  </si>
  <si>
    <t>LON133</t>
  </si>
  <si>
    <t>LON134</t>
  </si>
  <si>
    <t>LON135</t>
  </si>
  <si>
    <t>LON136</t>
  </si>
  <si>
    <t>LON137</t>
  </si>
  <si>
    <t>LON138</t>
  </si>
  <si>
    <t>LON139</t>
  </si>
  <si>
    <t>LON140</t>
  </si>
  <si>
    <t>LON141</t>
  </si>
  <si>
    <t>LON142</t>
  </si>
  <si>
    <t>LON143</t>
  </si>
  <si>
    <t>LON144</t>
  </si>
  <si>
    <t>LON145</t>
  </si>
  <si>
    <t>LON146</t>
  </si>
  <si>
    <t>LON147</t>
  </si>
  <si>
    <t>LON148</t>
  </si>
  <si>
    <t>LON149</t>
  </si>
  <si>
    <t>LON150</t>
  </si>
  <si>
    <t>LON151</t>
  </si>
  <si>
    <t>LON152</t>
  </si>
  <si>
    <t>LON153</t>
  </si>
  <si>
    <t>LON154</t>
  </si>
  <si>
    <t>LON155</t>
  </si>
  <si>
    <t>LON156</t>
  </si>
  <si>
    <t>LON157</t>
  </si>
  <si>
    <t>LON158</t>
  </si>
  <si>
    <t>Retraining</t>
  </si>
  <si>
    <t>LON159</t>
  </si>
  <si>
    <t>LON160</t>
  </si>
  <si>
    <t>LON161</t>
  </si>
  <si>
    <t>LON162</t>
  </si>
  <si>
    <t>LON163</t>
  </si>
  <si>
    <t>LON164</t>
  </si>
  <si>
    <t>LON165</t>
  </si>
  <si>
    <t>LON166</t>
  </si>
  <si>
    <t>LON167</t>
  </si>
  <si>
    <t>LON168</t>
  </si>
  <si>
    <t>LON169</t>
  </si>
  <si>
    <t>LON170</t>
  </si>
  <si>
    <t>LON171</t>
  </si>
  <si>
    <t>LON172</t>
  </si>
  <si>
    <t>LON173</t>
  </si>
  <si>
    <t>LON174</t>
  </si>
  <si>
    <t>LON175</t>
  </si>
  <si>
    <t>LON176</t>
  </si>
  <si>
    <t>LON177</t>
  </si>
  <si>
    <t>LON178</t>
  </si>
  <si>
    <t>LON179</t>
  </si>
  <si>
    <t>LON180</t>
  </si>
  <si>
    <t>LON181</t>
  </si>
  <si>
    <t>LON182</t>
  </si>
  <si>
    <t>LON183</t>
  </si>
  <si>
    <t>LON184</t>
  </si>
  <si>
    <t>LON185</t>
  </si>
  <si>
    <t>LON186</t>
  </si>
  <si>
    <t>LON187</t>
  </si>
  <si>
    <t>LON188</t>
  </si>
  <si>
    <t>LON189</t>
  </si>
  <si>
    <t>LON190</t>
  </si>
  <si>
    <t>LON191</t>
  </si>
  <si>
    <t>LON192</t>
  </si>
  <si>
    <t>LON193</t>
  </si>
  <si>
    <t>LON194</t>
  </si>
  <si>
    <t>LON195</t>
  </si>
  <si>
    <t>LON196</t>
  </si>
  <si>
    <t>LON197</t>
  </si>
  <si>
    <t>LON198</t>
  </si>
  <si>
    <t>LON199</t>
  </si>
  <si>
    <t>LON200</t>
  </si>
  <si>
    <t>LON201</t>
  </si>
  <si>
    <t>LON202</t>
  </si>
  <si>
    <t>LON203</t>
  </si>
  <si>
    <t>LON204</t>
  </si>
  <si>
    <t>LON205</t>
  </si>
  <si>
    <t>LON206</t>
  </si>
  <si>
    <t>LON207</t>
  </si>
  <si>
    <t>LON208</t>
  </si>
  <si>
    <t>LON209</t>
  </si>
  <si>
    <t>LON210</t>
  </si>
  <si>
    <t>LON211</t>
  </si>
  <si>
    <t>LON212</t>
  </si>
  <si>
    <t>LON213</t>
  </si>
  <si>
    <t>LON214</t>
  </si>
  <si>
    <t>LON215</t>
  </si>
  <si>
    <t>LON216</t>
  </si>
  <si>
    <t>LON217</t>
  </si>
  <si>
    <t>LON218</t>
  </si>
  <si>
    <t>LON219</t>
  </si>
  <si>
    <t>LON220</t>
  </si>
  <si>
    <t>LON221</t>
  </si>
  <si>
    <t>LON222</t>
  </si>
  <si>
    <t>LON223</t>
  </si>
  <si>
    <t>LON224</t>
  </si>
  <si>
    <t>LON225</t>
  </si>
  <si>
    <t>LON226</t>
  </si>
  <si>
    <t>LON227</t>
  </si>
  <si>
    <t>LON228</t>
  </si>
  <si>
    <t>LON229</t>
  </si>
  <si>
    <t>LON230</t>
  </si>
  <si>
    <t>LON231</t>
  </si>
  <si>
    <t>LON232</t>
  </si>
  <si>
    <t>LON233</t>
  </si>
  <si>
    <t>LON234</t>
  </si>
  <si>
    <t>LON235</t>
  </si>
  <si>
    <t>LON236</t>
  </si>
  <si>
    <t>LON237</t>
  </si>
  <si>
    <t>LON238</t>
  </si>
  <si>
    <t>LON239</t>
  </si>
  <si>
    <t>LON240</t>
  </si>
  <si>
    <t>LON241</t>
  </si>
  <si>
    <t>LON242</t>
  </si>
  <si>
    <t>LON243</t>
  </si>
  <si>
    <t>LON244</t>
  </si>
  <si>
    <t>LON245</t>
  </si>
  <si>
    <t>LON246</t>
  </si>
  <si>
    <t>LON247</t>
  </si>
  <si>
    <t>LON248</t>
  </si>
  <si>
    <t>LON249</t>
  </si>
  <si>
    <t>LON250</t>
  </si>
  <si>
    <t>LON251</t>
  </si>
  <si>
    <t>LON252</t>
  </si>
  <si>
    <t>LON253</t>
  </si>
  <si>
    <t>LON254</t>
  </si>
  <si>
    <t>LON255</t>
  </si>
  <si>
    <t>LON256</t>
  </si>
  <si>
    <t>LON257</t>
  </si>
  <si>
    <t>LON258</t>
  </si>
  <si>
    <t>LON259</t>
  </si>
  <si>
    <t>LON260</t>
  </si>
  <si>
    <t>LON261</t>
  </si>
  <si>
    <t>LON262</t>
  </si>
  <si>
    <t>LON263</t>
  </si>
  <si>
    <t>LON264</t>
  </si>
  <si>
    <t>LON265</t>
  </si>
  <si>
    <t>LON266</t>
  </si>
  <si>
    <t>LON267</t>
  </si>
  <si>
    <t>LON268</t>
  </si>
  <si>
    <t>LON269</t>
  </si>
  <si>
    <t>LON270</t>
  </si>
  <si>
    <t>LON271</t>
  </si>
  <si>
    <t>LON272</t>
  </si>
  <si>
    <t>LON273</t>
  </si>
  <si>
    <t>LON274</t>
  </si>
  <si>
    <t>LON275</t>
  </si>
  <si>
    <t>LON276</t>
  </si>
  <si>
    <t>LON277</t>
  </si>
  <si>
    <t>LON278</t>
  </si>
  <si>
    <t>LON279</t>
  </si>
  <si>
    <t>LON280</t>
  </si>
  <si>
    <t>LON281</t>
  </si>
  <si>
    <t>LON282</t>
  </si>
  <si>
    <t>LON283</t>
  </si>
  <si>
    <t>LON284</t>
  </si>
  <si>
    <t>LON285</t>
  </si>
  <si>
    <t>LON286</t>
  </si>
  <si>
    <t>LON287</t>
  </si>
  <si>
    <t>LON288</t>
  </si>
  <si>
    <t>LON289</t>
  </si>
  <si>
    <t>LON290</t>
  </si>
  <si>
    <t>LON291</t>
  </si>
  <si>
    <t>LON292</t>
  </si>
  <si>
    <t>LON293</t>
  </si>
  <si>
    <t>LON294</t>
  </si>
  <si>
    <t>LON295</t>
  </si>
  <si>
    <t>LON296</t>
  </si>
  <si>
    <t>LON297</t>
  </si>
  <si>
    <t>LON298</t>
  </si>
  <si>
    <t>LON299</t>
  </si>
  <si>
    <t>LON300</t>
  </si>
  <si>
    <t>LON301</t>
  </si>
  <si>
    <t>LON302</t>
  </si>
  <si>
    <t>LON303</t>
  </si>
  <si>
    <t>LON304</t>
  </si>
  <si>
    <t>LON305</t>
  </si>
  <si>
    <t>LON306</t>
  </si>
  <si>
    <t>LON307</t>
  </si>
  <si>
    <t>LON308</t>
  </si>
  <si>
    <t>LON309</t>
  </si>
  <si>
    <t>LON310</t>
  </si>
  <si>
    <t>LON311</t>
  </si>
  <si>
    <t>LON312</t>
  </si>
  <si>
    <t>LON313</t>
  </si>
  <si>
    <t>LON314</t>
  </si>
  <si>
    <t>LON315</t>
  </si>
  <si>
    <t>LON316</t>
  </si>
  <si>
    <t>LON317</t>
  </si>
  <si>
    <t>LON318</t>
  </si>
  <si>
    <t>LON319</t>
  </si>
  <si>
    <t>LON320</t>
  </si>
  <si>
    <t>LON321</t>
  </si>
  <si>
    <t>LON322</t>
  </si>
  <si>
    <t>LON323</t>
  </si>
  <si>
    <t>LON324</t>
  </si>
  <si>
    <t>LON325</t>
  </si>
  <si>
    <t>LON326</t>
  </si>
  <si>
    <t>LON327</t>
  </si>
  <si>
    <t>LON328</t>
  </si>
  <si>
    <t>LON329</t>
  </si>
  <si>
    <t>LON330</t>
  </si>
  <si>
    <t>LON331</t>
  </si>
  <si>
    <t>LON332</t>
  </si>
  <si>
    <t>LON333</t>
  </si>
  <si>
    <t>LON334</t>
  </si>
  <si>
    <t>LON335</t>
  </si>
  <si>
    <t>LON336</t>
  </si>
  <si>
    <t>LON337</t>
  </si>
  <si>
    <t>LON338</t>
  </si>
  <si>
    <t>LON339</t>
  </si>
  <si>
    <t>LON340</t>
  </si>
  <si>
    <t>LON341</t>
  </si>
  <si>
    <t>LON342</t>
  </si>
  <si>
    <t>LON343</t>
  </si>
  <si>
    <t>LON344</t>
  </si>
  <si>
    <t>LON345</t>
  </si>
  <si>
    <t>LON346</t>
  </si>
  <si>
    <t>LON347</t>
  </si>
  <si>
    <t>LON348</t>
  </si>
  <si>
    <t>LON349</t>
  </si>
  <si>
    <t>LON350</t>
  </si>
  <si>
    <t>LON351</t>
  </si>
  <si>
    <t>LON352</t>
  </si>
  <si>
    <t>LON353</t>
  </si>
  <si>
    <t>LON354</t>
  </si>
  <si>
    <t>LON355</t>
  </si>
  <si>
    <t>LON356</t>
  </si>
  <si>
    <t>LON357</t>
  </si>
  <si>
    <t>LON358</t>
  </si>
  <si>
    <t>LON359</t>
  </si>
  <si>
    <t>LON360</t>
  </si>
  <si>
    <t>LON361</t>
  </si>
  <si>
    <t>LON362</t>
  </si>
  <si>
    <t>LON363</t>
  </si>
  <si>
    <t>LON364</t>
  </si>
  <si>
    <t>LON365</t>
  </si>
  <si>
    <t>LON366</t>
  </si>
  <si>
    <t>LON367</t>
  </si>
  <si>
    <t>LON368</t>
  </si>
  <si>
    <t>LON369</t>
  </si>
  <si>
    <t>LON370</t>
  </si>
  <si>
    <t>LON371</t>
  </si>
  <si>
    <t>LON372</t>
  </si>
  <si>
    <t>LON373</t>
  </si>
  <si>
    <t>LON374</t>
  </si>
  <si>
    <t>LON375</t>
  </si>
  <si>
    <t>LON376</t>
  </si>
  <si>
    <t>LON377</t>
  </si>
  <si>
    <t>LON378</t>
  </si>
  <si>
    <t>LON379</t>
  </si>
  <si>
    <t>LON380</t>
  </si>
  <si>
    <t>LON381</t>
  </si>
  <si>
    <t>LON382</t>
  </si>
  <si>
    <t>LON383</t>
  </si>
  <si>
    <t>LON384</t>
  </si>
  <si>
    <t>LON385</t>
  </si>
  <si>
    <t>LON386</t>
  </si>
  <si>
    <t>LON387</t>
  </si>
  <si>
    <t>LON388</t>
  </si>
  <si>
    <t>LON389</t>
  </si>
  <si>
    <t>LON390</t>
  </si>
  <si>
    <t>LON391</t>
  </si>
  <si>
    <t>LON392</t>
  </si>
  <si>
    <t>LON393</t>
  </si>
  <si>
    <t>LON394</t>
  </si>
  <si>
    <t>LON395</t>
  </si>
  <si>
    <t>LON396</t>
  </si>
  <si>
    <t>LON397</t>
  </si>
  <si>
    <t>LON398</t>
  </si>
  <si>
    <t>LON399</t>
  </si>
  <si>
    <t>LON400</t>
  </si>
  <si>
    <t>LON401</t>
  </si>
  <si>
    <t>LON402</t>
  </si>
  <si>
    <t>LON403</t>
  </si>
  <si>
    <t>LON404</t>
  </si>
  <si>
    <t>LON405</t>
  </si>
  <si>
    <t>LON406</t>
  </si>
  <si>
    <t>LON407</t>
  </si>
  <si>
    <t>LON408</t>
  </si>
  <si>
    <t>LON409</t>
  </si>
  <si>
    <t>LON410</t>
  </si>
  <si>
    <t>LON411</t>
  </si>
  <si>
    <t>LON412</t>
  </si>
  <si>
    <t>LON413</t>
  </si>
  <si>
    <t>LON414</t>
  </si>
  <si>
    <t>LON415</t>
  </si>
  <si>
    <t>LON416</t>
  </si>
  <si>
    <t>LON417</t>
  </si>
  <si>
    <t>LON418</t>
  </si>
  <si>
    <t>LON419</t>
  </si>
  <si>
    <t>LON420</t>
  </si>
  <si>
    <t>LON421</t>
  </si>
  <si>
    <t>LON422</t>
  </si>
  <si>
    <t>LON423</t>
  </si>
  <si>
    <t>LON424</t>
  </si>
  <si>
    <t>LON425</t>
  </si>
  <si>
    <t>LON426</t>
  </si>
  <si>
    <t>LON427</t>
  </si>
  <si>
    <t>LON428</t>
  </si>
  <si>
    <t>LON429</t>
  </si>
  <si>
    <t>LON430</t>
  </si>
  <si>
    <t>LON431</t>
  </si>
  <si>
    <t>LON432</t>
  </si>
  <si>
    <t>LON433</t>
  </si>
  <si>
    <t>LON434</t>
  </si>
  <si>
    <t>LON435</t>
  </si>
  <si>
    <t>LON436</t>
  </si>
  <si>
    <t>LON437</t>
  </si>
  <si>
    <t>LON438</t>
  </si>
  <si>
    <t>LON439</t>
  </si>
  <si>
    <t>LON440</t>
  </si>
  <si>
    <t>LON441</t>
  </si>
  <si>
    <t>LON442</t>
  </si>
  <si>
    <t>LON443</t>
  </si>
  <si>
    <t>LON444</t>
  </si>
  <si>
    <t>LON445</t>
  </si>
  <si>
    <t>LON446</t>
  </si>
  <si>
    <t>LON447</t>
  </si>
  <si>
    <t>LON448</t>
  </si>
  <si>
    <t>LON449</t>
  </si>
  <si>
    <t>LON450</t>
  </si>
  <si>
    <t>LON451</t>
  </si>
  <si>
    <t>LON452</t>
  </si>
  <si>
    <t>LON453</t>
  </si>
  <si>
    <t>LON454</t>
  </si>
  <si>
    <t>LON455</t>
  </si>
  <si>
    <t>LON456</t>
  </si>
  <si>
    <t>LON457</t>
  </si>
  <si>
    <t>LON458</t>
  </si>
  <si>
    <t>LON459</t>
  </si>
  <si>
    <t>LON460</t>
  </si>
  <si>
    <t>LON461</t>
  </si>
  <si>
    <t>LON462</t>
  </si>
  <si>
    <t>LON463</t>
  </si>
  <si>
    <t>LON464</t>
  </si>
  <si>
    <t>LON465</t>
  </si>
  <si>
    <t>LON466</t>
  </si>
  <si>
    <t>LON467</t>
  </si>
  <si>
    <t>LON468</t>
  </si>
  <si>
    <t>LON469</t>
  </si>
  <si>
    <t>LON470</t>
  </si>
  <si>
    <t>LON471</t>
  </si>
  <si>
    <t>LON472</t>
  </si>
  <si>
    <t>LON473</t>
  </si>
  <si>
    <t>LON474</t>
  </si>
  <si>
    <t>LON475</t>
  </si>
  <si>
    <t>LON476</t>
  </si>
  <si>
    <t>LON477</t>
  </si>
  <si>
    <t>LON478</t>
  </si>
  <si>
    <t>LON479</t>
  </si>
  <si>
    <t>LON480</t>
  </si>
  <si>
    <t>LON481</t>
  </si>
  <si>
    <t>LON482</t>
  </si>
  <si>
    <t>LON483</t>
  </si>
  <si>
    <t>LON484</t>
  </si>
  <si>
    <t>LON485</t>
  </si>
  <si>
    <t>LON486</t>
  </si>
  <si>
    <t>LON487</t>
  </si>
  <si>
    <t>LON488</t>
  </si>
  <si>
    <t>LON489</t>
  </si>
  <si>
    <t>LON490</t>
  </si>
  <si>
    <t>LON491</t>
  </si>
  <si>
    <t>LON492</t>
  </si>
  <si>
    <t>LON493</t>
  </si>
  <si>
    <t>LON494</t>
  </si>
  <si>
    <t>LON495</t>
  </si>
  <si>
    <t>LON496</t>
  </si>
  <si>
    <t>LON497</t>
  </si>
  <si>
    <t>LON498</t>
  </si>
  <si>
    <t>LON499</t>
  </si>
  <si>
    <t>LON500</t>
  </si>
  <si>
    <t>LON501</t>
  </si>
  <si>
    <t>LON502</t>
  </si>
  <si>
    <t>LON503</t>
  </si>
  <si>
    <t>LON504</t>
  </si>
  <si>
    <t>LON505</t>
  </si>
  <si>
    <t>LON506</t>
  </si>
  <si>
    <t>LON507</t>
  </si>
  <si>
    <t>LON508</t>
  </si>
  <si>
    <t>LON509</t>
  </si>
  <si>
    <t>LON510</t>
  </si>
  <si>
    <t>LON511</t>
  </si>
  <si>
    <t>LON512</t>
  </si>
  <si>
    <t>LON513</t>
  </si>
  <si>
    <t>LON514</t>
  </si>
  <si>
    <t>LON515</t>
  </si>
  <si>
    <t>LON516</t>
  </si>
  <si>
    <t>LON517</t>
  </si>
  <si>
    <t>LON518</t>
  </si>
  <si>
    <t>LON519</t>
  </si>
  <si>
    <t>LON520</t>
  </si>
  <si>
    <t>LON521</t>
  </si>
  <si>
    <t>LON522</t>
  </si>
  <si>
    <t>LON523</t>
  </si>
  <si>
    <t>LON524</t>
  </si>
  <si>
    <t>LON525</t>
  </si>
  <si>
    <t>LON526</t>
  </si>
  <si>
    <t>LON527</t>
  </si>
  <si>
    <t>LON528</t>
  </si>
  <si>
    <t>LON529</t>
  </si>
  <si>
    <t>LON530</t>
  </si>
  <si>
    <t>LON531</t>
  </si>
  <si>
    <t>LON532</t>
  </si>
  <si>
    <t>LON533</t>
  </si>
  <si>
    <t>LON534</t>
  </si>
  <si>
    <t>LON535</t>
  </si>
  <si>
    <t>LON536</t>
  </si>
  <si>
    <t>LON537</t>
  </si>
  <si>
    <t>LON538</t>
  </si>
  <si>
    <t>LON539</t>
  </si>
  <si>
    <t>LON540</t>
  </si>
  <si>
    <t>LON541</t>
  </si>
  <si>
    <t>LON542</t>
  </si>
  <si>
    <t>LON543</t>
  </si>
  <si>
    <t>LON544</t>
  </si>
  <si>
    <t>LON545</t>
  </si>
  <si>
    <t>LON546</t>
  </si>
  <si>
    <t>LON547</t>
  </si>
  <si>
    <t>LON548</t>
  </si>
  <si>
    <t>LON549</t>
  </si>
  <si>
    <t>LON550</t>
  </si>
  <si>
    <t>LON551</t>
  </si>
  <si>
    <t>LON552</t>
  </si>
  <si>
    <t>LON553</t>
  </si>
  <si>
    <t>LON554</t>
  </si>
  <si>
    <t>LON555</t>
  </si>
  <si>
    <t>LON556</t>
  </si>
  <si>
    <t>LON557</t>
  </si>
  <si>
    <t>LON558</t>
  </si>
  <si>
    <t>LON559</t>
  </si>
  <si>
    <t>LON560</t>
  </si>
  <si>
    <t>LON561</t>
  </si>
  <si>
    <t>LON562</t>
  </si>
  <si>
    <t>LON563</t>
  </si>
  <si>
    <t>LON564</t>
  </si>
  <si>
    <t>LON565</t>
  </si>
  <si>
    <t>LON566</t>
  </si>
  <si>
    <t>LON567</t>
  </si>
  <si>
    <t>LON568</t>
  </si>
  <si>
    <t>LON569</t>
  </si>
  <si>
    <t>LON570</t>
  </si>
  <si>
    <t>LON571</t>
  </si>
  <si>
    <t>LON572</t>
  </si>
  <si>
    <t>LON573</t>
  </si>
  <si>
    <t>LON574</t>
  </si>
  <si>
    <t>LON575</t>
  </si>
  <si>
    <t>LON576</t>
  </si>
  <si>
    <t>LON577</t>
  </si>
  <si>
    <t>LON578</t>
  </si>
  <si>
    <t>LON579</t>
  </si>
  <si>
    <t>LON580</t>
  </si>
  <si>
    <t>LON581</t>
  </si>
  <si>
    <t>LON582</t>
  </si>
  <si>
    <t>LON583</t>
  </si>
  <si>
    <t>LON584</t>
  </si>
  <si>
    <t>LON585</t>
  </si>
  <si>
    <t>LON586</t>
  </si>
  <si>
    <t>LON587</t>
  </si>
  <si>
    <t>LON588</t>
  </si>
  <si>
    <t>LON589</t>
  </si>
  <si>
    <t>LON590</t>
  </si>
  <si>
    <t>LON591</t>
  </si>
  <si>
    <t>LON592</t>
  </si>
  <si>
    <t>LON593</t>
  </si>
  <si>
    <t>LON594</t>
  </si>
  <si>
    <t>LON595</t>
  </si>
  <si>
    <t>LON596</t>
  </si>
  <si>
    <t>LON597</t>
  </si>
  <si>
    <t>LON598</t>
  </si>
  <si>
    <t>LON599</t>
  </si>
  <si>
    <t>LON600</t>
  </si>
  <si>
    <t>LON601</t>
  </si>
  <si>
    <t>LON602</t>
  </si>
  <si>
    <t>LON603</t>
  </si>
  <si>
    <t>LON604</t>
  </si>
  <si>
    <t>LON605</t>
  </si>
  <si>
    <t>LON606</t>
  </si>
  <si>
    <t>LON607</t>
  </si>
  <si>
    <t>LON608</t>
  </si>
  <si>
    <t>LON609</t>
  </si>
  <si>
    <t>LON610</t>
  </si>
  <si>
    <t>LON611</t>
  </si>
  <si>
    <t>LON612</t>
  </si>
  <si>
    <t>LON613</t>
  </si>
  <si>
    <t>LON614</t>
  </si>
  <si>
    <t>LON615</t>
  </si>
  <si>
    <t>LON616</t>
  </si>
  <si>
    <t>LON617</t>
  </si>
  <si>
    <t>LON618</t>
  </si>
  <si>
    <t>LON619</t>
  </si>
  <si>
    <t>LON620</t>
  </si>
  <si>
    <t>LON621</t>
  </si>
  <si>
    <t>LON622</t>
  </si>
  <si>
    <t>LON623</t>
  </si>
  <si>
    <t>LON624</t>
  </si>
  <si>
    <t>LON625</t>
  </si>
  <si>
    <t>LON626</t>
  </si>
  <si>
    <t>LON627</t>
  </si>
  <si>
    <t>LON628</t>
  </si>
  <si>
    <t>LON629</t>
  </si>
  <si>
    <t>LON630</t>
  </si>
  <si>
    <t>LON631</t>
  </si>
  <si>
    <t>LON632</t>
  </si>
  <si>
    <t>LON633</t>
  </si>
  <si>
    <t>LON634</t>
  </si>
  <si>
    <t>LON635</t>
  </si>
  <si>
    <t>LON636</t>
  </si>
  <si>
    <t>LON637</t>
  </si>
  <si>
    <t>LON638</t>
  </si>
  <si>
    <t>LON639</t>
  </si>
  <si>
    <t>LON640</t>
  </si>
  <si>
    <t>LON641</t>
  </si>
  <si>
    <t>LON642</t>
  </si>
  <si>
    <t>LON643</t>
  </si>
  <si>
    <t>LON644</t>
  </si>
  <si>
    <t>LON645</t>
  </si>
  <si>
    <t>LON646</t>
  </si>
  <si>
    <t>LON647</t>
  </si>
  <si>
    <t>LON648</t>
  </si>
  <si>
    <t>LON649</t>
  </si>
  <si>
    <t>LON650</t>
  </si>
  <si>
    <t>LON651</t>
  </si>
  <si>
    <t>LON652</t>
  </si>
  <si>
    <t>LON653</t>
  </si>
  <si>
    <t>LON654</t>
  </si>
  <si>
    <t>LON655</t>
  </si>
  <si>
    <t>LON656</t>
  </si>
  <si>
    <t>LON657</t>
  </si>
  <si>
    <t>LON658</t>
  </si>
  <si>
    <t>LON659</t>
  </si>
  <si>
    <t>LON660</t>
  </si>
  <si>
    <t>LON661</t>
  </si>
  <si>
    <t>LON662</t>
  </si>
  <si>
    <t>LON663</t>
  </si>
  <si>
    <t>LON664</t>
  </si>
  <si>
    <t>LON665</t>
  </si>
  <si>
    <t>LON666</t>
  </si>
  <si>
    <t>LON667</t>
  </si>
  <si>
    <t>LON668</t>
  </si>
  <si>
    <t>LON669</t>
  </si>
  <si>
    <t>LON670</t>
  </si>
  <si>
    <t>LON671</t>
  </si>
  <si>
    <t>LON672</t>
  </si>
  <si>
    <t>LON673</t>
  </si>
  <si>
    <t>LON674</t>
  </si>
  <si>
    <t>LON675</t>
  </si>
  <si>
    <t>LON676</t>
  </si>
  <si>
    <t>LON677</t>
  </si>
  <si>
    <t>LON678</t>
  </si>
  <si>
    <t>LON679</t>
  </si>
  <si>
    <t>LON680</t>
  </si>
  <si>
    <t>LON681</t>
  </si>
  <si>
    <t>LON682</t>
  </si>
  <si>
    <t>LON683</t>
  </si>
  <si>
    <t>LON684</t>
  </si>
  <si>
    <t>LON685</t>
  </si>
  <si>
    <t>LON686</t>
  </si>
  <si>
    <t>LON687</t>
  </si>
  <si>
    <t>LON688</t>
  </si>
  <si>
    <t>LON689</t>
  </si>
  <si>
    <t>LON690</t>
  </si>
  <si>
    <t>LON691</t>
  </si>
  <si>
    <t>LON692</t>
  </si>
  <si>
    <t>LON693</t>
  </si>
  <si>
    <t>LON694</t>
  </si>
  <si>
    <t>LON695</t>
  </si>
  <si>
    <t>LON696</t>
  </si>
  <si>
    <t>LON697</t>
  </si>
  <si>
    <t>LON698</t>
  </si>
  <si>
    <t>LON699</t>
  </si>
  <si>
    <t>LON700</t>
  </si>
  <si>
    <t>LON701</t>
  </si>
  <si>
    <t>LON702</t>
  </si>
  <si>
    <t>LON703</t>
  </si>
  <si>
    <t>LON704</t>
  </si>
  <si>
    <t>LON705</t>
  </si>
  <si>
    <t>LON706</t>
  </si>
  <si>
    <t>LON707</t>
  </si>
  <si>
    <t>LON708</t>
  </si>
  <si>
    <t>LON709</t>
  </si>
  <si>
    <t>LON710</t>
  </si>
  <si>
    <t>LON711</t>
  </si>
  <si>
    <t>LON712</t>
  </si>
  <si>
    <t>LON713</t>
  </si>
  <si>
    <t>LON714</t>
  </si>
  <si>
    <t>LON715</t>
  </si>
  <si>
    <t>LON716</t>
  </si>
  <si>
    <t>LON717</t>
  </si>
  <si>
    <t>LON718</t>
  </si>
  <si>
    <t>LON719</t>
  </si>
  <si>
    <t>LON720</t>
  </si>
  <si>
    <t>LON721</t>
  </si>
  <si>
    <t>LON722</t>
  </si>
  <si>
    <t>LON723</t>
  </si>
  <si>
    <t>LON724</t>
  </si>
  <si>
    <t>LON725</t>
  </si>
  <si>
    <t>LON726</t>
  </si>
  <si>
    <t>LON727</t>
  </si>
  <si>
    <t>LON728</t>
  </si>
  <si>
    <t>LON729</t>
  </si>
  <si>
    <t>LON730</t>
  </si>
  <si>
    <t>LON731</t>
  </si>
  <si>
    <t>LON732</t>
  </si>
  <si>
    <t>LON733</t>
  </si>
  <si>
    <t>LON734</t>
  </si>
  <si>
    <t>LON735</t>
  </si>
  <si>
    <t>LON736</t>
  </si>
  <si>
    <t>LON737</t>
  </si>
  <si>
    <t>LON738</t>
  </si>
  <si>
    <t>LON739</t>
  </si>
  <si>
    <t>LON740</t>
  </si>
  <si>
    <t>LON741</t>
  </si>
  <si>
    <t>LON742</t>
  </si>
  <si>
    <t>LON743</t>
  </si>
  <si>
    <t>LON744</t>
  </si>
  <si>
    <t>LON745</t>
  </si>
  <si>
    <t>LON746</t>
  </si>
  <si>
    <t>LON747</t>
  </si>
  <si>
    <t>LON748</t>
  </si>
  <si>
    <t>LON749</t>
  </si>
  <si>
    <t>LON750</t>
  </si>
  <si>
    <t>LON751</t>
  </si>
  <si>
    <t>LON752</t>
  </si>
  <si>
    <t>LON753</t>
  </si>
  <si>
    <t>LON754</t>
  </si>
  <si>
    <t>LON755</t>
  </si>
  <si>
    <t>LON756</t>
  </si>
  <si>
    <t>LON757</t>
  </si>
  <si>
    <t>LON758</t>
  </si>
  <si>
    <t>LON759</t>
  </si>
  <si>
    <t>LON760</t>
  </si>
  <si>
    <t>LON761</t>
  </si>
  <si>
    <t>LON762</t>
  </si>
  <si>
    <t>LON763</t>
  </si>
  <si>
    <t>LON764</t>
  </si>
  <si>
    <t>LON765</t>
  </si>
  <si>
    <t>LON766</t>
  </si>
  <si>
    <t>LON767</t>
  </si>
  <si>
    <t>LON768</t>
  </si>
  <si>
    <t>LON769</t>
  </si>
  <si>
    <t>LON770</t>
  </si>
  <si>
    <t>LON771</t>
  </si>
  <si>
    <t>LON772</t>
  </si>
  <si>
    <t>LON773</t>
  </si>
  <si>
    <t>LON774</t>
  </si>
  <si>
    <t>LON775</t>
  </si>
  <si>
    <t>LON776</t>
  </si>
  <si>
    <t>LON777</t>
  </si>
  <si>
    <t>LON778</t>
  </si>
  <si>
    <t>LON779</t>
  </si>
  <si>
    <t>LON780</t>
  </si>
  <si>
    <t>LON781</t>
  </si>
  <si>
    <t>LON782</t>
  </si>
  <si>
    <t>LON783</t>
  </si>
  <si>
    <t>LON784</t>
  </si>
  <si>
    <t>LON785</t>
  </si>
  <si>
    <t>LON786</t>
  </si>
  <si>
    <t>LON787</t>
  </si>
  <si>
    <t>LON788</t>
  </si>
  <si>
    <t>LON789</t>
  </si>
  <si>
    <t>LON790</t>
  </si>
  <si>
    <t>LON791</t>
  </si>
  <si>
    <t>LON792</t>
  </si>
  <si>
    <t>LON793</t>
  </si>
  <si>
    <t>LON794</t>
  </si>
  <si>
    <t>LON795</t>
  </si>
  <si>
    <t>LON796</t>
  </si>
  <si>
    <t>LON797</t>
  </si>
  <si>
    <t>LON798</t>
  </si>
  <si>
    <t>LON799</t>
  </si>
  <si>
    <t>LON800</t>
  </si>
  <si>
    <t>LON801</t>
  </si>
  <si>
    <t>LON802</t>
  </si>
  <si>
    <t>LON803</t>
  </si>
  <si>
    <t>LON804</t>
  </si>
  <si>
    <t>LON805</t>
  </si>
  <si>
    <t>LON806</t>
  </si>
  <si>
    <t>LON807</t>
  </si>
  <si>
    <t>LON808</t>
  </si>
  <si>
    <t>LON809</t>
  </si>
  <si>
    <t>LON810</t>
  </si>
  <si>
    <t>LON811</t>
  </si>
  <si>
    <t>LON812</t>
  </si>
  <si>
    <t>LON813</t>
  </si>
  <si>
    <t>LON814</t>
  </si>
  <si>
    <t>LON815</t>
  </si>
  <si>
    <t>LON816</t>
  </si>
  <si>
    <t>LON817</t>
  </si>
  <si>
    <t>LON818</t>
  </si>
  <si>
    <t>LON819</t>
  </si>
  <si>
    <t>LON820</t>
  </si>
  <si>
    <t>LON821</t>
  </si>
  <si>
    <t>LON822</t>
  </si>
  <si>
    <t>LON823</t>
  </si>
  <si>
    <t>LON824</t>
  </si>
  <si>
    <t>LON825</t>
  </si>
  <si>
    <t>LON826</t>
  </si>
  <si>
    <t>LON827</t>
  </si>
  <si>
    <t>LON828</t>
  </si>
  <si>
    <t>LON829</t>
  </si>
  <si>
    <t>LON830</t>
  </si>
  <si>
    <t>LON831</t>
  </si>
  <si>
    <t>LON832</t>
  </si>
  <si>
    <t>LON833</t>
  </si>
  <si>
    <t>LON834</t>
  </si>
  <si>
    <t>LON835</t>
  </si>
  <si>
    <t>LON836</t>
  </si>
  <si>
    <t>LON837</t>
  </si>
  <si>
    <t>LON838</t>
  </si>
  <si>
    <t>LON839</t>
  </si>
  <si>
    <t>LON840</t>
  </si>
  <si>
    <t>LON841</t>
  </si>
  <si>
    <t>LON842</t>
  </si>
  <si>
    <t>LON843</t>
  </si>
  <si>
    <t>LON844</t>
  </si>
  <si>
    <t>LON845</t>
  </si>
  <si>
    <t>LON846</t>
  </si>
  <si>
    <t>LON847</t>
  </si>
  <si>
    <t>LON848</t>
  </si>
  <si>
    <t>LON849</t>
  </si>
  <si>
    <t>LON850</t>
  </si>
  <si>
    <t>LON851</t>
  </si>
  <si>
    <t>LON852</t>
  </si>
  <si>
    <t>LON853</t>
  </si>
  <si>
    <t>LON854</t>
  </si>
  <si>
    <t>LON855</t>
  </si>
  <si>
    <t>LON856</t>
  </si>
  <si>
    <t>LON857</t>
  </si>
  <si>
    <t>LON858</t>
  </si>
  <si>
    <t>LON859</t>
  </si>
  <si>
    <t>LON860</t>
  </si>
  <si>
    <t>LON861</t>
  </si>
  <si>
    <t>LON862</t>
  </si>
  <si>
    <t>LON863</t>
  </si>
  <si>
    <t>LON864</t>
  </si>
  <si>
    <t>LON865</t>
  </si>
  <si>
    <t>LON866</t>
  </si>
  <si>
    <t>LON867</t>
  </si>
  <si>
    <t>LON868</t>
  </si>
  <si>
    <t>LON869</t>
  </si>
  <si>
    <t>LON870</t>
  </si>
  <si>
    <t>LON871</t>
  </si>
  <si>
    <t>LON872</t>
  </si>
  <si>
    <t>LON873</t>
  </si>
  <si>
    <t>LON874</t>
  </si>
  <si>
    <t>LON875</t>
  </si>
  <si>
    <t>LON876</t>
  </si>
  <si>
    <t>LON877</t>
  </si>
  <si>
    <t>LON878</t>
  </si>
  <si>
    <t>LON879</t>
  </si>
  <si>
    <t>LON880</t>
  </si>
  <si>
    <t>LON881</t>
  </si>
  <si>
    <t>LON882</t>
  </si>
  <si>
    <t>LON883</t>
  </si>
  <si>
    <t>LON884</t>
  </si>
  <si>
    <t>LON885</t>
  </si>
  <si>
    <t>LON886</t>
  </si>
  <si>
    <t>LON887</t>
  </si>
  <si>
    <t>LON888</t>
  </si>
  <si>
    <t>LON889</t>
  </si>
  <si>
    <t>LON890</t>
  </si>
  <si>
    <t>LON891</t>
  </si>
  <si>
    <t>LON892</t>
  </si>
  <si>
    <t>LON893</t>
  </si>
  <si>
    <t>LON894</t>
  </si>
  <si>
    <t>LON895</t>
  </si>
  <si>
    <t>LON896</t>
  </si>
  <si>
    <t>LON897</t>
  </si>
  <si>
    <t>LON898</t>
  </si>
  <si>
    <t>LON899</t>
  </si>
  <si>
    <t>LON900</t>
  </si>
  <si>
    <t>LON901</t>
  </si>
  <si>
    <t>LON902</t>
  </si>
  <si>
    <t>LON903</t>
  </si>
  <si>
    <t>LON904</t>
  </si>
  <si>
    <t>LON905</t>
  </si>
  <si>
    <t>LON906</t>
  </si>
  <si>
    <t>LON907</t>
  </si>
  <si>
    <t>LON908</t>
  </si>
  <si>
    <t>LON909</t>
  </si>
  <si>
    <t>LON910</t>
  </si>
  <si>
    <t>LON911</t>
  </si>
  <si>
    <t>LON912</t>
  </si>
  <si>
    <t>LON913</t>
  </si>
  <si>
    <t>LON914</t>
  </si>
  <si>
    <t>LON915</t>
  </si>
  <si>
    <t>LON916</t>
  </si>
  <si>
    <t>LON917</t>
  </si>
  <si>
    <t>LON918</t>
  </si>
  <si>
    <t>LON919</t>
  </si>
  <si>
    <t>LON920</t>
  </si>
  <si>
    <t>LON921</t>
  </si>
  <si>
    <t>LON922</t>
  </si>
  <si>
    <t>LON923</t>
  </si>
  <si>
    <t>LON924</t>
  </si>
  <si>
    <t>LON925</t>
  </si>
  <si>
    <t>LON926</t>
  </si>
  <si>
    <t>LON927</t>
  </si>
  <si>
    <t>LON928</t>
  </si>
  <si>
    <t>LON929</t>
  </si>
  <si>
    <t>LON930</t>
  </si>
  <si>
    <t>LON931</t>
  </si>
  <si>
    <t>LON932</t>
  </si>
  <si>
    <t>LON933</t>
  </si>
  <si>
    <t>LON934</t>
  </si>
  <si>
    <t>LON935</t>
  </si>
  <si>
    <t>LON936</t>
  </si>
  <si>
    <t>LON937</t>
  </si>
  <si>
    <t>LON938</t>
  </si>
  <si>
    <t>LON939</t>
  </si>
  <si>
    <t>LON940</t>
  </si>
  <si>
    <t>LON941</t>
  </si>
  <si>
    <t>LON942</t>
  </si>
  <si>
    <t>LON943</t>
  </si>
  <si>
    <t>LON944</t>
  </si>
  <si>
    <t>LON945</t>
  </si>
  <si>
    <t>LON946</t>
  </si>
  <si>
    <t>LON947</t>
  </si>
  <si>
    <t>LON948</t>
  </si>
  <si>
    <t>LON949</t>
  </si>
  <si>
    <t>LON950</t>
  </si>
  <si>
    <t>LON951</t>
  </si>
  <si>
    <t>LON952</t>
  </si>
  <si>
    <t>LON953</t>
  </si>
  <si>
    <t>LON954</t>
  </si>
  <si>
    <t>LON955</t>
  </si>
  <si>
    <t>LON956</t>
  </si>
  <si>
    <t>LON957</t>
  </si>
  <si>
    <t>LON958</t>
  </si>
  <si>
    <t>LON959</t>
  </si>
  <si>
    <t>LON960</t>
  </si>
  <si>
    <t>LON961</t>
  </si>
  <si>
    <t>LON962</t>
  </si>
  <si>
    <t>LON963</t>
  </si>
  <si>
    <t>LON964</t>
  </si>
  <si>
    <t>LON965</t>
  </si>
  <si>
    <t>LON966</t>
  </si>
  <si>
    <t>LON967</t>
  </si>
  <si>
    <t>LON968</t>
  </si>
  <si>
    <t>LON969</t>
  </si>
  <si>
    <t>LON970</t>
  </si>
  <si>
    <t>LON971</t>
  </si>
  <si>
    <t>LON972</t>
  </si>
  <si>
    <t>LON973</t>
  </si>
  <si>
    <t>LON974</t>
  </si>
  <si>
    <t>LON975</t>
  </si>
  <si>
    <t>LON976</t>
  </si>
  <si>
    <t>LON977</t>
  </si>
  <si>
    <t>LON978</t>
  </si>
  <si>
    <t>LON979</t>
  </si>
  <si>
    <t>LON980</t>
  </si>
  <si>
    <t>LON981</t>
  </si>
  <si>
    <t>LON982</t>
  </si>
  <si>
    <t>LON983</t>
  </si>
  <si>
    <t>LON984</t>
  </si>
  <si>
    <t>LON985</t>
  </si>
  <si>
    <t>LON986</t>
  </si>
  <si>
    <t>LON987</t>
  </si>
  <si>
    <t>LON988</t>
  </si>
  <si>
    <t>LON989</t>
  </si>
  <si>
    <t>LON990</t>
  </si>
  <si>
    <t>LON991</t>
  </si>
  <si>
    <t>LON992</t>
  </si>
  <si>
    <t>LON993</t>
  </si>
  <si>
    <t>LON994</t>
  </si>
  <si>
    <t>LON995</t>
  </si>
  <si>
    <t>LON996</t>
  </si>
  <si>
    <t>LON997</t>
  </si>
  <si>
    <t>LON998</t>
  </si>
  <si>
    <t>LON999</t>
  </si>
  <si>
    <t>LON1000</t>
  </si>
  <si>
    <t>Less than 10000</t>
  </si>
  <si>
    <t>50000 - 99999</t>
  </si>
  <si>
    <t>1,00000 or Above</t>
  </si>
  <si>
    <t>10000 - 49999</t>
  </si>
  <si>
    <t>By purpose</t>
  </si>
  <si>
    <t>By credit history</t>
  </si>
  <si>
    <t>Category</t>
  </si>
  <si>
    <t>Loan count</t>
  </si>
  <si>
    <t>Avg credit amount</t>
  </si>
  <si>
    <t>By employment length</t>
  </si>
  <si>
    <t>By housing</t>
  </si>
  <si>
    <t>By job type</t>
  </si>
  <si>
    <t>By savings status</t>
  </si>
  <si>
    <t>By personal status (sex)</t>
  </si>
  <si>
    <t>By foreign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</si>
</sst>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E75B6"/>
        <bgColor rgb="FF4F81BD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/>
    <xf numFmtId="0" fontId="18" fillId="0" borderId="10" xfId="0" applyFont="1" applyBorder="1"/>
    <xf numFmtId="0" fontId="20" fillId="34" borderId="0" xfId="0" applyFont="1" applyFill="1" applyBorder="1"/>
    <xf numFmtId="0" fontId="18" fillId="0" borderId="0" xfId="0" applyFont="1" applyBorder="1"/>
    <xf numFmtId="0" fontId="19" fillId="0" borderId="11" xfId="0" applyFont="1" applyBorder="1"/>
    <xf numFmtId="0" fontId="0" fillId="0" borderId="12" xfId="0" applyBorder="1"/>
    <xf numFmtId="0" fontId="0" fillId="0" borderId="13" xfId="0" applyBorder="1"/>
    <xf numFmtId="0" fontId="20" fillId="34" borderId="14" xfId="0" applyFont="1" applyFill="1" applyBorder="1"/>
    <xf numFmtId="0" fontId="20" fillId="34" borderId="15" xfId="0" applyFont="1" applyFill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Credit_Risk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Data"/>
      <sheetName val="Analysis"/>
    </sheetNames>
    <sheetDataSet>
      <sheetData sheetId="0"/>
      <sheetData sheetId="1">
        <row r="2">
          <cell r="C2" t="str">
            <v>Critical/Other Existing Credit</v>
          </cell>
          <cell r="D2" t="str">
            <v>Radio/Tv</v>
          </cell>
          <cell r="E2">
            <v>128590</v>
          </cell>
          <cell r="F2" t="str">
            <v>No Savings</v>
          </cell>
          <cell r="G2" t="str">
            <v>7 Years</v>
          </cell>
          <cell r="I2" t="str">
            <v>Male</v>
          </cell>
          <cell r="N2" t="str">
            <v>Own</v>
          </cell>
          <cell r="P2" t="str">
            <v>Skilled</v>
          </cell>
          <cell r="S2" t="str">
            <v>Yes</v>
          </cell>
        </row>
        <row r="3">
          <cell r="C3" t="str">
            <v>Existing Paid</v>
          </cell>
          <cell r="D3" t="str">
            <v>Radio/Tv</v>
          </cell>
          <cell r="E3">
            <v>654610</v>
          </cell>
          <cell r="F3" t="str">
            <v>Less than 10000</v>
          </cell>
          <cell r="G3" t="str">
            <v>1-4 Years</v>
          </cell>
          <cell r="I3" t="str">
            <v>Female</v>
          </cell>
          <cell r="N3" t="str">
            <v>Own</v>
          </cell>
          <cell r="P3" t="str">
            <v>Skilled</v>
          </cell>
          <cell r="S3" t="str">
            <v>Yes</v>
          </cell>
        </row>
        <row r="4">
          <cell r="C4" t="str">
            <v>Critical/Other Existing Credit</v>
          </cell>
          <cell r="D4" t="str">
            <v>Education</v>
          </cell>
          <cell r="E4">
            <v>230560</v>
          </cell>
          <cell r="F4" t="str">
            <v>Less than 10000</v>
          </cell>
          <cell r="G4" t="str">
            <v>4-6 Years</v>
          </cell>
          <cell r="I4" t="str">
            <v>Male</v>
          </cell>
          <cell r="N4" t="str">
            <v>Own</v>
          </cell>
          <cell r="P4" t="str">
            <v>Unskilled Resident</v>
          </cell>
          <cell r="S4" t="str">
            <v>Yes</v>
          </cell>
        </row>
        <row r="5">
          <cell r="C5" t="str">
            <v>Existing Paid</v>
          </cell>
          <cell r="D5" t="str">
            <v>Furniture/Equipment</v>
          </cell>
          <cell r="E5">
            <v>867020</v>
          </cell>
          <cell r="F5" t="str">
            <v>Less than 10000</v>
          </cell>
          <cell r="G5" t="str">
            <v>4-6 Years</v>
          </cell>
          <cell r="I5" t="str">
            <v>Male</v>
          </cell>
          <cell r="N5" t="str">
            <v>For Free</v>
          </cell>
          <cell r="P5" t="str">
            <v>Skilled</v>
          </cell>
          <cell r="S5" t="str">
            <v>Yes</v>
          </cell>
        </row>
        <row r="6">
          <cell r="C6" t="str">
            <v>Delayed Previously</v>
          </cell>
          <cell r="D6" t="str">
            <v>New Car</v>
          </cell>
          <cell r="E6">
            <v>535700</v>
          </cell>
          <cell r="F6" t="str">
            <v>Less than 10000</v>
          </cell>
          <cell r="G6" t="str">
            <v>1-4 Years</v>
          </cell>
          <cell r="I6" t="str">
            <v>Male</v>
          </cell>
          <cell r="N6" t="str">
            <v>For Free</v>
          </cell>
          <cell r="P6" t="str">
            <v>Skilled</v>
          </cell>
          <cell r="S6" t="str">
            <v>Yes</v>
          </cell>
        </row>
        <row r="7">
          <cell r="C7" t="str">
            <v>Existing Paid</v>
          </cell>
          <cell r="D7" t="str">
            <v>Education</v>
          </cell>
          <cell r="E7">
            <v>996050</v>
          </cell>
          <cell r="F7" t="str">
            <v>No Savings</v>
          </cell>
          <cell r="G7" t="str">
            <v>1-4 Years</v>
          </cell>
          <cell r="I7" t="str">
            <v>Male</v>
          </cell>
          <cell r="N7" t="str">
            <v>For Free</v>
          </cell>
          <cell r="P7" t="str">
            <v>Unskilled Resident</v>
          </cell>
          <cell r="S7" t="str">
            <v>Yes</v>
          </cell>
        </row>
        <row r="8">
          <cell r="C8" t="str">
            <v>Existing Paid</v>
          </cell>
          <cell r="D8" t="str">
            <v>Furniture/Equipment</v>
          </cell>
          <cell r="E8">
            <v>311850</v>
          </cell>
          <cell r="F8" t="str">
            <v>50000 - 99999</v>
          </cell>
          <cell r="G8" t="str">
            <v>7 Years</v>
          </cell>
          <cell r="I8" t="str">
            <v>Male</v>
          </cell>
          <cell r="N8" t="str">
            <v>Own</v>
          </cell>
          <cell r="P8" t="str">
            <v>Skilled</v>
          </cell>
          <cell r="S8" t="str">
            <v>Yes</v>
          </cell>
        </row>
        <row r="9">
          <cell r="C9" t="str">
            <v>Existing Paid</v>
          </cell>
          <cell r="D9" t="str">
            <v>Used Car</v>
          </cell>
          <cell r="E9">
            <v>764280</v>
          </cell>
          <cell r="F9" t="str">
            <v>Less than 10000</v>
          </cell>
          <cell r="G9" t="str">
            <v>1-4 Years</v>
          </cell>
          <cell r="I9" t="str">
            <v>Male</v>
          </cell>
          <cell r="N9" t="str">
            <v>Rent</v>
          </cell>
          <cell r="P9" t="str">
            <v>High Qualif/Self Emp/Mgmt</v>
          </cell>
          <cell r="S9" t="str">
            <v>Yes</v>
          </cell>
        </row>
        <row r="10">
          <cell r="C10" t="str">
            <v>Existing Paid</v>
          </cell>
          <cell r="D10" t="str">
            <v>Radio/Tv</v>
          </cell>
          <cell r="E10">
            <v>336490</v>
          </cell>
          <cell r="F10" t="str">
            <v>1,00000 or Above</v>
          </cell>
          <cell r="G10" t="str">
            <v>4-6 Years</v>
          </cell>
          <cell r="I10" t="str">
            <v>Male</v>
          </cell>
          <cell r="N10" t="str">
            <v>Own</v>
          </cell>
          <cell r="P10" t="str">
            <v>Unskilled Resident</v>
          </cell>
          <cell r="S10" t="str">
            <v>Yes</v>
          </cell>
        </row>
        <row r="11">
          <cell r="C11" t="str">
            <v>Critical/Other Existing Credit</v>
          </cell>
          <cell r="D11" t="str">
            <v>New Car</v>
          </cell>
          <cell r="E11">
            <v>575740</v>
          </cell>
          <cell r="F11" t="str">
            <v>Less than 10000</v>
          </cell>
          <cell r="G11" t="str">
            <v>Unemployed</v>
          </cell>
          <cell r="I11" t="str">
            <v>Male</v>
          </cell>
          <cell r="N11" t="str">
            <v>Own</v>
          </cell>
          <cell r="P11" t="str">
            <v>High Qualif/Self Emp/Mgmt</v>
          </cell>
          <cell r="S11" t="str">
            <v>Yes</v>
          </cell>
        </row>
        <row r="12">
          <cell r="C12" t="str">
            <v>Existing Paid</v>
          </cell>
          <cell r="D12" t="str">
            <v>New Car</v>
          </cell>
          <cell r="E12">
            <v>142450</v>
          </cell>
          <cell r="F12" t="str">
            <v>Less than 10000</v>
          </cell>
          <cell r="G12" t="str">
            <v>Below 1Years</v>
          </cell>
          <cell r="I12" t="str">
            <v>Female</v>
          </cell>
          <cell r="N12" t="str">
            <v>Rent</v>
          </cell>
          <cell r="P12" t="str">
            <v>Skilled</v>
          </cell>
          <cell r="S12" t="str">
            <v>Yes</v>
          </cell>
        </row>
        <row r="13">
          <cell r="C13" t="str">
            <v>Existing Paid</v>
          </cell>
          <cell r="D13" t="str">
            <v>Business</v>
          </cell>
          <cell r="E13">
            <v>473880</v>
          </cell>
          <cell r="F13" t="str">
            <v>Less than 10000</v>
          </cell>
          <cell r="G13" t="str">
            <v>Below 1Years</v>
          </cell>
          <cell r="I13" t="str">
            <v>Female</v>
          </cell>
          <cell r="N13" t="str">
            <v>Rent</v>
          </cell>
          <cell r="P13" t="str">
            <v>Skilled</v>
          </cell>
          <cell r="S13" t="str">
            <v>Yes</v>
          </cell>
        </row>
        <row r="14">
          <cell r="C14" t="str">
            <v>Existing Paid</v>
          </cell>
          <cell r="D14" t="str">
            <v>Radio/Tv</v>
          </cell>
          <cell r="E14">
            <v>172370</v>
          </cell>
          <cell r="F14" t="str">
            <v>Less than 10000</v>
          </cell>
          <cell r="G14" t="str">
            <v>1-4 Years</v>
          </cell>
          <cell r="I14" t="str">
            <v>Female</v>
          </cell>
          <cell r="N14" t="str">
            <v>Own</v>
          </cell>
          <cell r="P14" t="str">
            <v>Skilled</v>
          </cell>
          <cell r="S14" t="str">
            <v>Yes</v>
          </cell>
        </row>
        <row r="15">
          <cell r="C15" t="str">
            <v>Critical/Other Existing Credit</v>
          </cell>
          <cell r="D15" t="str">
            <v>New Car</v>
          </cell>
          <cell r="E15">
            <v>131890</v>
          </cell>
          <cell r="F15" t="str">
            <v>Less than 10000</v>
          </cell>
          <cell r="G15" t="str">
            <v>7 Years</v>
          </cell>
          <cell r="I15" t="str">
            <v>Male</v>
          </cell>
          <cell r="N15" t="str">
            <v>Own</v>
          </cell>
          <cell r="P15" t="str">
            <v>Unskilled Resident</v>
          </cell>
          <cell r="S15" t="str">
            <v>Yes</v>
          </cell>
        </row>
        <row r="16">
          <cell r="C16" t="str">
            <v>Existing Paid</v>
          </cell>
          <cell r="D16" t="str">
            <v>New Car</v>
          </cell>
          <cell r="E16">
            <v>154330</v>
          </cell>
          <cell r="F16" t="str">
            <v>Less than 10000</v>
          </cell>
          <cell r="G16" t="str">
            <v>1-4 Years</v>
          </cell>
          <cell r="I16" t="str">
            <v>Female</v>
          </cell>
          <cell r="N16" t="str">
            <v>Rent</v>
          </cell>
          <cell r="P16" t="str">
            <v>Skilled</v>
          </cell>
          <cell r="S16" t="str">
            <v>Yes</v>
          </cell>
        </row>
        <row r="17">
          <cell r="C17" t="str">
            <v>Existing Paid</v>
          </cell>
          <cell r="D17" t="str">
            <v>Radio/Tv</v>
          </cell>
          <cell r="E17">
            <v>141020</v>
          </cell>
          <cell r="F17" t="str">
            <v>10000 - 49999</v>
          </cell>
          <cell r="G17" t="str">
            <v>1-4 Years</v>
          </cell>
          <cell r="I17" t="str">
            <v>Female</v>
          </cell>
          <cell r="N17" t="str">
            <v>Own</v>
          </cell>
          <cell r="P17" t="str">
            <v>Unskilled Resident</v>
          </cell>
          <cell r="S17" t="str">
            <v>Yes</v>
          </cell>
        </row>
        <row r="18">
          <cell r="C18" t="str">
            <v>Critical/Other Existing Credit</v>
          </cell>
          <cell r="D18" t="str">
            <v>Radio/Tv</v>
          </cell>
          <cell r="E18">
            <v>266640</v>
          </cell>
          <cell r="F18" t="str">
            <v>No Savings</v>
          </cell>
          <cell r="G18" t="str">
            <v>7 Years</v>
          </cell>
          <cell r="I18" t="str">
            <v>Male</v>
          </cell>
          <cell r="N18" t="str">
            <v>Own</v>
          </cell>
          <cell r="P18" t="str">
            <v>Skilled</v>
          </cell>
          <cell r="S18" t="str">
            <v>Yes</v>
          </cell>
        </row>
        <row r="19">
          <cell r="C19" t="str">
            <v>No Credits/All Paid</v>
          </cell>
          <cell r="D19" t="str">
            <v>Business</v>
          </cell>
          <cell r="E19">
            <v>887920</v>
          </cell>
          <cell r="F19" t="str">
            <v>No Savings</v>
          </cell>
          <cell r="G19" t="str">
            <v>Below 1Years</v>
          </cell>
          <cell r="I19" t="str">
            <v>Male</v>
          </cell>
          <cell r="N19" t="str">
            <v>Own</v>
          </cell>
          <cell r="P19" t="str">
            <v>Skilled</v>
          </cell>
          <cell r="S19" t="str">
            <v>Yes</v>
          </cell>
        </row>
        <row r="20">
          <cell r="C20" t="str">
            <v>Existing Paid</v>
          </cell>
          <cell r="D20" t="str">
            <v>Used Car</v>
          </cell>
          <cell r="E20">
            <v>1383690</v>
          </cell>
          <cell r="F20" t="str">
            <v>Less than 10000</v>
          </cell>
          <cell r="G20" t="str">
            <v>7 Years</v>
          </cell>
          <cell r="I20" t="str">
            <v>Female</v>
          </cell>
          <cell r="N20" t="str">
            <v>For Free</v>
          </cell>
          <cell r="P20" t="str">
            <v>High Qualif/Self Emp/Mgmt</v>
          </cell>
          <cell r="S20" t="str">
            <v>Yes</v>
          </cell>
        </row>
        <row r="21">
          <cell r="C21" t="str">
            <v>Existing Paid</v>
          </cell>
          <cell r="D21" t="str">
            <v>Radio/Tv</v>
          </cell>
          <cell r="E21">
            <v>377300</v>
          </cell>
          <cell r="F21" t="str">
            <v>50000 - 99999</v>
          </cell>
          <cell r="G21" t="str">
            <v>7 Years</v>
          </cell>
          <cell r="I21" t="str">
            <v>Male</v>
          </cell>
          <cell r="N21" t="str">
            <v>Own</v>
          </cell>
          <cell r="P21" t="str">
            <v>Skilled</v>
          </cell>
          <cell r="S21" t="str">
            <v>Yes</v>
          </cell>
        </row>
        <row r="22">
          <cell r="C22" t="str">
            <v>Critical/Other Existing Credit</v>
          </cell>
          <cell r="D22" t="str">
            <v>New Car</v>
          </cell>
          <cell r="E22">
            <v>234740</v>
          </cell>
          <cell r="F22" t="str">
            <v>Less than 10000</v>
          </cell>
          <cell r="G22" t="str">
            <v>1-4 Years</v>
          </cell>
          <cell r="I22" t="str">
            <v>Male</v>
          </cell>
          <cell r="N22" t="str">
            <v>Own</v>
          </cell>
          <cell r="P22" t="str">
            <v>Skilled</v>
          </cell>
          <cell r="S22" t="str">
            <v>Yes</v>
          </cell>
        </row>
        <row r="23">
          <cell r="C23" t="str">
            <v>Existing Paid</v>
          </cell>
          <cell r="D23" t="str">
            <v>Radio/Tv</v>
          </cell>
          <cell r="E23">
            <v>291170</v>
          </cell>
          <cell r="F23" t="str">
            <v>50000 - 99999</v>
          </cell>
          <cell r="G23" t="str">
            <v>1-4 Years</v>
          </cell>
          <cell r="I23" t="str">
            <v>Male</v>
          </cell>
          <cell r="N23" t="str">
            <v>Rent</v>
          </cell>
          <cell r="P23" t="str">
            <v>Skilled</v>
          </cell>
          <cell r="S23" t="str">
            <v>Yes</v>
          </cell>
        </row>
        <row r="24">
          <cell r="C24" t="str">
            <v>Critical/Other Existing Credit</v>
          </cell>
          <cell r="D24" t="str">
            <v>New Car</v>
          </cell>
          <cell r="E24">
            <v>246510</v>
          </cell>
          <cell r="F24" t="str">
            <v>Less than 10000</v>
          </cell>
          <cell r="G24" t="str">
            <v>Below 1Years</v>
          </cell>
          <cell r="I24" t="str">
            <v>Male</v>
          </cell>
          <cell r="N24" t="str">
            <v>Rent</v>
          </cell>
          <cell r="P24" t="str">
            <v>Unskilled Resident</v>
          </cell>
          <cell r="S24" t="str">
            <v>No</v>
          </cell>
        </row>
        <row r="25">
          <cell r="C25" t="str">
            <v>Critical/Other Existing Credit</v>
          </cell>
          <cell r="D25" t="str">
            <v>Used Car</v>
          </cell>
          <cell r="E25">
            <v>198440</v>
          </cell>
          <cell r="F25" t="str">
            <v>10000 - 49999</v>
          </cell>
          <cell r="G25" t="str">
            <v>Below 1Years</v>
          </cell>
          <cell r="I25" t="str">
            <v>Male</v>
          </cell>
          <cell r="N25" t="str">
            <v>Own</v>
          </cell>
          <cell r="P25" t="str">
            <v>Skilled</v>
          </cell>
          <cell r="S25" t="str">
            <v>Yes</v>
          </cell>
        </row>
        <row r="26">
          <cell r="C26" t="str">
            <v>Critical/Other Existing Credit</v>
          </cell>
          <cell r="D26" t="str">
            <v>Furniture/Equipment</v>
          </cell>
          <cell r="E26">
            <v>227590</v>
          </cell>
          <cell r="F26" t="str">
            <v>No Savings</v>
          </cell>
          <cell r="G26" t="str">
            <v>1-4 Years</v>
          </cell>
          <cell r="I26" t="str">
            <v>Male</v>
          </cell>
          <cell r="N26" t="str">
            <v>Own</v>
          </cell>
          <cell r="P26" t="str">
            <v>Skilled</v>
          </cell>
          <cell r="S26" t="str">
            <v>No</v>
          </cell>
        </row>
        <row r="27">
          <cell r="C27" t="str">
            <v>Existing Paid</v>
          </cell>
          <cell r="D27" t="str">
            <v>Furniture/Equipment</v>
          </cell>
          <cell r="E27">
            <v>151140</v>
          </cell>
          <cell r="F27" t="str">
            <v>Less than 10000</v>
          </cell>
          <cell r="G27" t="str">
            <v>1-4 Years</v>
          </cell>
          <cell r="I27" t="str">
            <v>Male</v>
          </cell>
          <cell r="N27" t="str">
            <v>Own</v>
          </cell>
          <cell r="P27" t="str">
            <v>Unskilled Resident</v>
          </cell>
          <cell r="S27" t="str">
            <v>Yes</v>
          </cell>
        </row>
        <row r="28">
          <cell r="C28" t="str">
            <v>No Credits/All Paid</v>
          </cell>
          <cell r="D28" t="str">
            <v>Radio/Tv</v>
          </cell>
          <cell r="E28">
            <v>46860</v>
          </cell>
          <cell r="F28" t="str">
            <v>Less than 10000</v>
          </cell>
          <cell r="G28" t="str">
            <v>7 Years</v>
          </cell>
          <cell r="I28" t="str">
            <v>Male</v>
          </cell>
          <cell r="N28" t="str">
            <v>Own</v>
          </cell>
          <cell r="P28" t="str">
            <v>Unskilled Resident</v>
          </cell>
          <cell r="S28" t="str">
            <v>Yes</v>
          </cell>
        </row>
        <row r="29">
          <cell r="C29" t="str">
            <v>All Paid</v>
          </cell>
          <cell r="D29" t="str">
            <v>Radio/Tv</v>
          </cell>
          <cell r="E29">
            <v>44990</v>
          </cell>
          <cell r="F29" t="str">
            <v>1,00000 or Above</v>
          </cell>
          <cell r="G29" t="str">
            <v>1-4 Years</v>
          </cell>
          <cell r="I29" t="str">
            <v>Female</v>
          </cell>
          <cell r="N29" t="str">
            <v>Rent</v>
          </cell>
          <cell r="P29" t="str">
            <v>Skilled</v>
          </cell>
          <cell r="S29" t="str">
            <v>Yes</v>
          </cell>
        </row>
        <row r="30">
          <cell r="C30" t="str">
            <v>Existing Paid</v>
          </cell>
          <cell r="D30" t="str">
            <v>Radio/Tv</v>
          </cell>
          <cell r="E30">
            <v>265650</v>
          </cell>
          <cell r="F30" t="str">
            <v>Less than 10000</v>
          </cell>
          <cell r="G30" t="str">
            <v>1-4 Years</v>
          </cell>
          <cell r="I30" t="str">
            <v>Male</v>
          </cell>
          <cell r="N30" t="str">
            <v>Own</v>
          </cell>
          <cell r="P30" t="str">
            <v>Skilled</v>
          </cell>
          <cell r="S30" t="str">
            <v>Yes</v>
          </cell>
        </row>
        <row r="31">
          <cell r="C31" t="str">
            <v>Delayed Previously</v>
          </cell>
          <cell r="D31" t="str">
            <v>Business</v>
          </cell>
          <cell r="E31">
            <v>751960</v>
          </cell>
          <cell r="F31" t="str">
            <v>Less than 10000</v>
          </cell>
          <cell r="G31" t="str">
            <v>7 Years</v>
          </cell>
          <cell r="I31" t="str">
            <v>Male</v>
          </cell>
          <cell r="N31" t="str">
            <v>Own</v>
          </cell>
          <cell r="P31" t="str">
            <v>Skilled</v>
          </cell>
          <cell r="S31" t="str">
            <v>Yes</v>
          </cell>
        </row>
        <row r="32">
          <cell r="C32" t="str">
            <v>Existing Paid</v>
          </cell>
          <cell r="D32" t="str">
            <v>Business</v>
          </cell>
          <cell r="E32">
            <v>210430</v>
          </cell>
          <cell r="F32" t="str">
            <v>1,00000 or Above</v>
          </cell>
          <cell r="G32" t="str">
            <v>Below 1Years</v>
          </cell>
          <cell r="I32" t="str">
            <v>Male</v>
          </cell>
          <cell r="N32" t="str">
            <v>Own</v>
          </cell>
          <cell r="P32" t="str">
            <v>Skilled</v>
          </cell>
          <cell r="S32" t="str">
            <v>Yes</v>
          </cell>
        </row>
        <row r="33">
          <cell r="C33" t="str">
            <v>Existing Paid</v>
          </cell>
          <cell r="D33" t="str">
            <v>Furniture/Equipment</v>
          </cell>
          <cell r="E33">
            <v>442200</v>
          </cell>
          <cell r="F33" t="str">
            <v>Less than 10000</v>
          </cell>
          <cell r="G33" t="str">
            <v>1-4 Years</v>
          </cell>
          <cell r="I33" t="str">
            <v>Male</v>
          </cell>
          <cell r="N33" t="str">
            <v>Own</v>
          </cell>
          <cell r="P33" t="str">
            <v>Skilled</v>
          </cell>
          <cell r="S33" t="str">
            <v>Yes</v>
          </cell>
        </row>
        <row r="34">
          <cell r="C34" t="str">
            <v>Existing Paid</v>
          </cell>
          <cell r="D34" t="str">
            <v>New Car</v>
          </cell>
          <cell r="E34">
            <v>645260</v>
          </cell>
          <cell r="F34" t="str">
            <v>10000 - 49999</v>
          </cell>
          <cell r="G34" t="str">
            <v>1-4 Years</v>
          </cell>
          <cell r="I34" t="str">
            <v>Male</v>
          </cell>
          <cell r="N34" t="str">
            <v>Own</v>
          </cell>
          <cell r="P34" t="str">
            <v>Skilled</v>
          </cell>
          <cell r="S34" t="str">
            <v>Yes</v>
          </cell>
        </row>
        <row r="35">
          <cell r="C35" t="str">
            <v>Critical/Other Existing Credit</v>
          </cell>
          <cell r="D35" t="str">
            <v>Business</v>
          </cell>
          <cell r="E35">
            <v>139040</v>
          </cell>
          <cell r="F35" t="str">
            <v>No Savings</v>
          </cell>
          <cell r="G35" t="str">
            <v>7 Years</v>
          </cell>
          <cell r="I35" t="str">
            <v>Male</v>
          </cell>
          <cell r="N35" t="str">
            <v>Rent</v>
          </cell>
          <cell r="P35" t="str">
            <v>Unskilled Resident</v>
          </cell>
          <cell r="S35" t="str">
            <v>Yes</v>
          </cell>
        </row>
        <row r="36">
          <cell r="C36" t="str">
            <v>Existing Paid</v>
          </cell>
          <cell r="D36" t="str">
            <v>Furniture/Equipment</v>
          </cell>
          <cell r="E36">
            <v>162140</v>
          </cell>
          <cell r="F36" t="str">
            <v>Less than 10000</v>
          </cell>
          <cell r="G36" t="str">
            <v>Below 1Years</v>
          </cell>
          <cell r="I36" t="str">
            <v>Female</v>
          </cell>
          <cell r="N36" t="str">
            <v>Own</v>
          </cell>
          <cell r="P36" t="str">
            <v>High Qualif/Self Emp/Mgmt</v>
          </cell>
          <cell r="S36" t="str">
            <v>Yes</v>
          </cell>
        </row>
        <row r="37">
          <cell r="C37" t="str">
            <v>Critical/Other Existing Credit</v>
          </cell>
          <cell r="D37" t="str">
            <v>Radio/Tv</v>
          </cell>
          <cell r="E37">
            <v>522060</v>
          </cell>
          <cell r="F37" t="str">
            <v>Less than 10000</v>
          </cell>
          <cell r="G37" t="str">
            <v>Below 1Years</v>
          </cell>
          <cell r="I37" t="str">
            <v>Male</v>
          </cell>
          <cell r="N37" t="str">
            <v>Own</v>
          </cell>
          <cell r="P37" t="str">
            <v>Unskilled Resident</v>
          </cell>
          <cell r="S37" t="str">
            <v>Yes</v>
          </cell>
        </row>
        <row r="38">
          <cell r="C38" t="str">
            <v>Critical/Other Existing Credit</v>
          </cell>
          <cell r="D38" t="str">
            <v>Education</v>
          </cell>
          <cell r="E38">
            <v>672100</v>
          </cell>
          <cell r="F38" t="str">
            <v>Less than 10000</v>
          </cell>
          <cell r="G38" t="str">
            <v>1-4 Years</v>
          </cell>
          <cell r="I38" t="str">
            <v>Male</v>
          </cell>
          <cell r="N38" t="str">
            <v>For Free</v>
          </cell>
          <cell r="P38" t="str">
            <v>Skilled</v>
          </cell>
          <cell r="S38" t="str">
            <v>Yes</v>
          </cell>
        </row>
        <row r="39">
          <cell r="C39" t="str">
            <v>Existing Paid</v>
          </cell>
          <cell r="D39" t="str">
            <v>Radio/Tv</v>
          </cell>
          <cell r="E39">
            <v>231000</v>
          </cell>
          <cell r="F39" t="str">
            <v>Less than 10000</v>
          </cell>
          <cell r="G39" t="str">
            <v>1-4 Years</v>
          </cell>
          <cell r="I39" t="str">
            <v>Male</v>
          </cell>
          <cell r="N39" t="str">
            <v>Own</v>
          </cell>
          <cell r="P39" t="str">
            <v>Skilled</v>
          </cell>
          <cell r="S39" t="str">
            <v>Yes</v>
          </cell>
        </row>
        <row r="40">
          <cell r="C40" t="str">
            <v>Existing Paid</v>
          </cell>
          <cell r="D40" t="str">
            <v>Domestic Appliance</v>
          </cell>
          <cell r="E40">
            <v>134750</v>
          </cell>
          <cell r="F40" t="str">
            <v>Less than 10000</v>
          </cell>
          <cell r="G40" t="str">
            <v>1-4 Years</v>
          </cell>
          <cell r="I40" t="str">
            <v>Male</v>
          </cell>
          <cell r="N40" t="str">
            <v>Own</v>
          </cell>
          <cell r="P40" t="str">
            <v>Skilled</v>
          </cell>
          <cell r="S40" t="str">
            <v>Yes</v>
          </cell>
        </row>
        <row r="41">
          <cell r="C41" t="str">
            <v>Existing Paid</v>
          </cell>
          <cell r="D41" t="str">
            <v>Radio/Tv</v>
          </cell>
          <cell r="E41">
            <v>50380</v>
          </cell>
          <cell r="F41" t="str">
            <v>Less than 10000</v>
          </cell>
          <cell r="G41" t="str">
            <v>1-4 Years</v>
          </cell>
          <cell r="I41" t="str">
            <v>Male</v>
          </cell>
          <cell r="N41" t="str">
            <v>Own</v>
          </cell>
          <cell r="P41" t="str">
            <v>Skilled</v>
          </cell>
          <cell r="S41" t="str">
            <v>Yes</v>
          </cell>
        </row>
        <row r="42">
          <cell r="C42" t="str">
            <v>Existing Paid</v>
          </cell>
          <cell r="D42" t="str">
            <v>Radio/Tv</v>
          </cell>
          <cell r="E42">
            <v>256630</v>
          </cell>
          <cell r="F42" t="str">
            <v>50000 - 99999</v>
          </cell>
          <cell r="G42" t="str">
            <v>7 Years</v>
          </cell>
          <cell r="I42" t="str">
            <v>Male</v>
          </cell>
          <cell r="N42" t="str">
            <v>Own</v>
          </cell>
          <cell r="P42" t="str">
            <v>High Qualif/Self Emp/Mgmt</v>
          </cell>
          <cell r="S42" t="str">
            <v>Yes</v>
          </cell>
        </row>
        <row r="43">
          <cell r="C43" t="str">
            <v>Existing Paid</v>
          </cell>
          <cell r="D43" t="str">
            <v>Radio/Tv</v>
          </cell>
          <cell r="E43">
            <v>127380</v>
          </cell>
          <cell r="F43" t="str">
            <v>50000 - 99999</v>
          </cell>
          <cell r="G43" t="str">
            <v>1-4 Years</v>
          </cell>
          <cell r="I43" t="str">
            <v>Male</v>
          </cell>
          <cell r="N43" t="str">
            <v>Own</v>
          </cell>
          <cell r="P43" t="str">
            <v>Skilled</v>
          </cell>
          <cell r="S43" t="str">
            <v>Yes</v>
          </cell>
        </row>
        <row r="44">
          <cell r="C44" t="str">
            <v>Delayed Previously</v>
          </cell>
          <cell r="D44" t="str">
            <v>Repairs</v>
          </cell>
          <cell r="E44">
            <v>682440</v>
          </cell>
          <cell r="F44" t="str">
            <v>Less than 10000</v>
          </cell>
          <cell r="G44" t="str">
            <v>1-4 Years</v>
          </cell>
          <cell r="I44" t="str">
            <v>Male</v>
          </cell>
          <cell r="N44" t="str">
            <v>Own</v>
          </cell>
          <cell r="P44" t="str">
            <v>Unskilled Resident</v>
          </cell>
          <cell r="S44" t="str">
            <v>Yes</v>
          </cell>
        </row>
        <row r="45">
          <cell r="C45" t="str">
            <v>Critical/Other Existing Credit</v>
          </cell>
          <cell r="D45" t="str">
            <v>Used Car</v>
          </cell>
          <cell r="E45">
            <v>680570</v>
          </cell>
          <cell r="F45" t="str">
            <v>10000 - 49999</v>
          </cell>
          <cell r="G45" t="str">
            <v>4-6 Years</v>
          </cell>
          <cell r="I45" t="str">
            <v>Male</v>
          </cell>
          <cell r="N45" t="str">
            <v>Rent</v>
          </cell>
          <cell r="P45" t="str">
            <v>Skilled</v>
          </cell>
          <cell r="S45" t="str">
            <v>Yes</v>
          </cell>
        </row>
        <row r="46">
          <cell r="C46" t="str">
            <v>Critical/Other Existing Credit</v>
          </cell>
          <cell r="D46" t="str">
            <v>Used Car</v>
          </cell>
          <cell r="E46">
            <v>675730</v>
          </cell>
          <cell r="F46" t="str">
            <v>Less than 10000</v>
          </cell>
          <cell r="G46" t="str">
            <v>7 Years</v>
          </cell>
          <cell r="I46" t="str">
            <v>Female</v>
          </cell>
          <cell r="N46" t="str">
            <v>For Free</v>
          </cell>
          <cell r="P46" t="str">
            <v>Unskilled Resident</v>
          </cell>
          <cell r="S46" t="str">
            <v>Yes</v>
          </cell>
        </row>
        <row r="47">
          <cell r="C47" t="str">
            <v>Critical/Other Existing Credit</v>
          </cell>
          <cell r="D47" t="str">
            <v>New Car</v>
          </cell>
          <cell r="E47">
            <v>153230</v>
          </cell>
          <cell r="F47" t="str">
            <v>Less than 10000</v>
          </cell>
          <cell r="G47" t="str">
            <v>Below 1Years</v>
          </cell>
          <cell r="I47" t="str">
            <v>Female</v>
          </cell>
          <cell r="N47" t="str">
            <v>Own</v>
          </cell>
          <cell r="P47" t="str">
            <v>High Qualif/Self Emp/Mgmt</v>
          </cell>
          <cell r="S47" t="str">
            <v>Yes</v>
          </cell>
        </row>
        <row r="48">
          <cell r="C48" t="str">
            <v>Existing Paid</v>
          </cell>
          <cell r="D48" t="str">
            <v>Radio/Tv</v>
          </cell>
          <cell r="E48">
            <v>252890</v>
          </cell>
          <cell r="F48" t="str">
            <v>50000 - 99999</v>
          </cell>
          <cell r="G48" t="str">
            <v>7 Years</v>
          </cell>
          <cell r="I48" t="str">
            <v>Male</v>
          </cell>
          <cell r="N48" t="str">
            <v>Own</v>
          </cell>
          <cell r="P48" t="str">
            <v>Skilled</v>
          </cell>
          <cell r="S48" t="str">
            <v>Yes</v>
          </cell>
        </row>
        <row r="49">
          <cell r="C49" t="str">
            <v>Existing Paid</v>
          </cell>
          <cell r="D49" t="str">
            <v>Used Car</v>
          </cell>
          <cell r="E49">
            <v>148720</v>
          </cell>
          <cell r="F49" t="str">
            <v>50000 - 99999</v>
          </cell>
          <cell r="G49" t="str">
            <v>Unemployed</v>
          </cell>
          <cell r="I49" t="str">
            <v>Female</v>
          </cell>
          <cell r="N49" t="str">
            <v>Rent</v>
          </cell>
          <cell r="P49" t="str">
            <v>Unemp/Unskilled Non Res</v>
          </cell>
          <cell r="S49" t="str">
            <v>Yes</v>
          </cell>
        </row>
        <row r="50">
          <cell r="C50" t="str">
            <v>Critical/Other Existing Credit</v>
          </cell>
          <cell r="D50" t="str">
            <v>New Car</v>
          </cell>
          <cell r="E50">
            <v>795080</v>
          </cell>
          <cell r="F50" t="str">
            <v>Less than 10000</v>
          </cell>
          <cell r="G50" t="str">
            <v>1-4 Years</v>
          </cell>
          <cell r="I50" t="str">
            <v>Male</v>
          </cell>
          <cell r="N50" t="str">
            <v>Own</v>
          </cell>
          <cell r="P50" t="str">
            <v>Unskilled Resident</v>
          </cell>
          <cell r="S50" t="str">
            <v>Yes</v>
          </cell>
        </row>
        <row r="51">
          <cell r="C51" t="str">
            <v>Existing Paid</v>
          </cell>
          <cell r="D51" t="str">
            <v>Radio/Tv</v>
          </cell>
          <cell r="E51">
            <v>228030</v>
          </cell>
          <cell r="F51" t="str">
            <v>10000 - 49999</v>
          </cell>
          <cell r="G51" t="str">
            <v>1-4 Years</v>
          </cell>
          <cell r="I51" t="str">
            <v>Female</v>
          </cell>
          <cell r="N51" t="str">
            <v>Own</v>
          </cell>
          <cell r="P51" t="str">
            <v>Skilled</v>
          </cell>
          <cell r="S51" t="str">
            <v>Yes</v>
          </cell>
        </row>
        <row r="52">
          <cell r="C52" t="str">
            <v>Delayed Previously</v>
          </cell>
          <cell r="D52" t="str">
            <v>Furniture/Equipment</v>
          </cell>
          <cell r="E52">
            <v>256630</v>
          </cell>
          <cell r="F52" t="str">
            <v>No Savings</v>
          </cell>
          <cell r="G52" t="str">
            <v>Below 1Years</v>
          </cell>
          <cell r="I52" t="str">
            <v>Male</v>
          </cell>
          <cell r="N52" t="str">
            <v>Own</v>
          </cell>
          <cell r="P52" t="str">
            <v>Unskilled Resident</v>
          </cell>
          <cell r="S52" t="str">
            <v>Yes</v>
          </cell>
        </row>
        <row r="53">
          <cell r="C53" t="str">
            <v>Delayed Previously</v>
          </cell>
          <cell r="D53" t="str">
            <v>Used Car</v>
          </cell>
          <cell r="E53">
            <v>656150</v>
          </cell>
          <cell r="F53" t="str">
            <v>Less than 10000</v>
          </cell>
          <cell r="G53" t="str">
            <v>7 Years</v>
          </cell>
          <cell r="I53" t="str">
            <v>Male</v>
          </cell>
          <cell r="N53" t="str">
            <v>Own</v>
          </cell>
          <cell r="P53" t="str">
            <v>High Qualif/Self Emp/Mgmt</v>
          </cell>
          <cell r="S53" t="str">
            <v>Yes</v>
          </cell>
        </row>
        <row r="54">
          <cell r="C54" t="str">
            <v>Existing Paid</v>
          </cell>
          <cell r="D54" t="str">
            <v>Radio/Tv</v>
          </cell>
          <cell r="E54">
            <v>138820</v>
          </cell>
          <cell r="F54" t="str">
            <v>Less than 10000</v>
          </cell>
          <cell r="G54" t="str">
            <v>1-4 Years</v>
          </cell>
          <cell r="I54" t="str">
            <v>Male</v>
          </cell>
          <cell r="N54" t="str">
            <v>Own</v>
          </cell>
          <cell r="P54" t="str">
            <v>Skilled</v>
          </cell>
          <cell r="S54" t="str">
            <v>Yes</v>
          </cell>
        </row>
        <row r="55">
          <cell r="C55" t="str">
            <v>Existing Paid</v>
          </cell>
          <cell r="D55" t="str">
            <v>Used Car</v>
          </cell>
          <cell r="E55">
            <v>371580</v>
          </cell>
          <cell r="F55" t="str">
            <v>No Savings</v>
          </cell>
          <cell r="G55" t="str">
            <v>1-4 Years</v>
          </cell>
          <cell r="I55" t="str">
            <v>Male</v>
          </cell>
          <cell r="N55" t="str">
            <v>Own</v>
          </cell>
          <cell r="P55" t="str">
            <v>Skilled</v>
          </cell>
          <cell r="S55" t="str">
            <v>Yes</v>
          </cell>
        </row>
        <row r="56">
          <cell r="C56" t="str">
            <v>Delayed Previously</v>
          </cell>
          <cell r="D56" t="str">
            <v>New Car</v>
          </cell>
          <cell r="E56">
            <v>244750</v>
          </cell>
          <cell r="F56" t="str">
            <v>Less than 10000</v>
          </cell>
          <cell r="G56" t="str">
            <v>7 Years</v>
          </cell>
          <cell r="I56" t="str">
            <v>Male</v>
          </cell>
          <cell r="N56" t="str">
            <v>For Free</v>
          </cell>
          <cell r="P56" t="str">
            <v>Skilled</v>
          </cell>
          <cell r="S56" t="str">
            <v>Yes</v>
          </cell>
        </row>
        <row r="57">
          <cell r="C57" t="str">
            <v>All Paid</v>
          </cell>
          <cell r="D57" t="str">
            <v>New Car</v>
          </cell>
          <cell r="E57">
            <v>86130</v>
          </cell>
          <cell r="F57" t="str">
            <v>No Savings</v>
          </cell>
          <cell r="G57" t="str">
            <v>1-4 Years</v>
          </cell>
          <cell r="I57" t="str">
            <v>Male</v>
          </cell>
          <cell r="N57" t="str">
            <v>Own</v>
          </cell>
          <cell r="P57" t="str">
            <v>Unskilled Resident</v>
          </cell>
          <cell r="S57" t="str">
            <v>Yes</v>
          </cell>
        </row>
        <row r="58">
          <cell r="C58" t="str">
            <v>Existing Paid</v>
          </cell>
          <cell r="D58" t="str">
            <v>Radio/Tv</v>
          </cell>
          <cell r="E58">
            <v>711480</v>
          </cell>
          <cell r="F58" t="str">
            <v>No Savings</v>
          </cell>
          <cell r="G58" t="str">
            <v>Unemployed</v>
          </cell>
          <cell r="I58" t="str">
            <v>Male</v>
          </cell>
          <cell r="N58" t="str">
            <v>Own</v>
          </cell>
          <cell r="P58" t="str">
            <v>High Qualif/Self Emp/Mgmt</v>
          </cell>
          <cell r="S58" t="str">
            <v>Yes</v>
          </cell>
        </row>
        <row r="59">
          <cell r="C59" t="str">
            <v>Critical/Other Existing Credit</v>
          </cell>
          <cell r="D59" t="str">
            <v>Radio/Tv</v>
          </cell>
          <cell r="E59">
            <v>1052260</v>
          </cell>
          <cell r="F59" t="str">
            <v>Less than 10000</v>
          </cell>
          <cell r="G59" t="str">
            <v>1-4 Years</v>
          </cell>
          <cell r="I59" t="str">
            <v>Female</v>
          </cell>
          <cell r="N59" t="str">
            <v>Own</v>
          </cell>
          <cell r="P59" t="str">
            <v>Skilled</v>
          </cell>
          <cell r="S59" t="str">
            <v>Yes</v>
          </cell>
        </row>
        <row r="60">
          <cell r="C60" t="str">
            <v>Existing Paid</v>
          </cell>
          <cell r="D60" t="str">
            <v>New Car</v>
          </cell>
          <cell r="E60">
            <v>215710</v>
          </cell>
          <cell r="F60" t="str">
            <v>Less than 10000</v>
          </cell>
          <cell r="G60" t="str">
            <v>7 Years</v>
          </cell>
          <cell r="I60" t="str">
            <v>Female</v>
          </cell>
          <cell r="N60" t="str">
            <v>Own</v>
          </cell>
          <cell r="P60" t="str">
            <v>High Qualif/Self Emp/Mgmt</v>
          </cell>
          <cell r="S60" t="str">
            <v>Yes</v>
          </cell>
        </row>
        <row r="61">
          <cell r="C61" t="str">
            <v>Critical/Other Existing Credit</v>
          </cell>
          <cell r="D61" t="str">
            <v>Furniture/Equipment</v>
          </cell>
          <cell r="E61">
            <v>685190</v>
          </cell>
          <cell r="F61" t="str">
            <v>Less than 10000</v>
          </cell>
          <cell r="G61" t="str">
            <v>Below 1Years</v>
          </cell>
          <cell r="I61" t="str">
            <v>Female</v>
          </cell>
          <cell r="N61" t="str">
            <v>Rent</v>
          </cell>
          <cell r="P61" t="str">
            <v>Unskilled Resident</v>
          </cell>
          <cell r="S61" t="str">
            <v>Yes</v>
          </cell>
        </row>
        <row r="62">
          <cell r="C62" t="str">
            <v>Existing Paid</v>
          </cell>
          <cell r="D62" t="str">
            <v>Business</v>
          </cell>
          <cell r="E62">
            <v>153010</v>
          </cell>
          <cell r="F62" t="str">
            <v>Less than 10000</v>
          </cell>
          <cell r="G62" t="str">
            <v>1-4 Years</v>
          </cell>
          <cell r="I62" t="str">
            <v>Male</v>
          </cell>
          <cell r="N62" t="str">
            <v>Own</v>
          </cell>
          <cell r="P62" t="str">
            <v>Skilled</v>
          </cell>
          <cell r="S62" t="str">
            <v>Yes</v>
          </cell>
        </row>
        <row r="63">
          <cell r="C63" t="str">
            <v>Critical/Other Existing Credit</v>
          </cell>
          <cell r="D63" t="str">
            <v>Radio/Tv</v>
          </cell>
          <cell r="E63">
            <v>169070</v>
          </cell>
          <cell r="F63" t="str">
            <v>No Savings</v>
          </cell>
          <cell r="G63" t="str">
            <v>7 Years</v>
          </cell>
          <cell r="I63" t="str">
            <v>Male</v>
          </cell>
          <cell r="N63" t="str">
            <v>Own</v>
          </cell>
          <cell r="P63" t="str">
            <v>Skilled</v>
          </cell>
          <cell r="S63" t="str">
            <v>Yes</v>
          </cell>
        </row>
        <row r="64">
          <cell r="C64" t="str">
            <v>No Credits/All Paid</v>
          </cell>
          <cell r="D64" t="str">
            <v>Business</v>
          </cell>
          <cell r="E64">
            <v>214830</v>
          </cell>
          <cell r="F64" t="str">
            <v>Less than 10000</v>
          </cell>
          <cell r="G64" t="str">
            <v>7 Years</v>
          </cell>
          <cell r="I64" t="str">
            <v>Male</v>
          </cell>
          <cell r="N64" t="str">
            <v>For Free</v>
          </cell>
          <cell r="P64" t="str">
            <v>High Qualif/Self Emp/Mgmt</v>
          </cell>
          <cell r="S64" t="str">
            <v>Yes</v>
          </cell>
        </row>
        <row r="65">
          <cell r="C65" t="str">
            <v>No Credits/All Paid</v>
          </cell>
          <cell r="D65" t="str">
            <v>Business</v>
          </cell>
          <cell r="E65">
            <v>1586310</v>
          </cell>
          <cell r="F65" t="str">
            <v>Less than 10000</v>
          </cell>
          <cell r="G65" t="str">
            <v>1-4 Years</v>
          </cell>
          <cell r="I65" t="str">
            <v>Male</v>
          </cell>
          <cell r="N65" t="str">
            <v>Own</v>
          </cell>
          <cell r="P65" t="str">
            <v>Skilled</v>
          </cell>
          <cell r="S65" t="str">
            <v>Yes</v>
          </cell>
        </row>
        <row r="66">
          <cell r="C66" t="str">
            <v>Existing Paid</v>
          </cell>
          <cell r="D66" t="str">
            <v>Radio/Tv</v>
          </cell>
          <cell r="E66">
            <v>349910</v>
          </cell>
          <cell r="F66" t="str">
            <v>Less than 10000</v>
          </cell>
          <cell r="G66" t="str">
            <v>Below 1Years</v>
          </cell>
          <cell r="I66" t="str">
            <v>Female</v>
          </cell>
          <cell r="N66" t="str">
            <v>Own</v>
          </cell>
          <cell r="P66" t="str">
            <v>Skilled</v>
          </cell>
          <cell r="S66" t="str">
            <v>Yes</v>
          </cell>
        </row>
        <row r="67">
          <cell r="C67" t="str">
            <v>Existing Paid</v>
          </cell>
          <cell r="D67" t="str">
            <v>Repairs</v>
          </cell>
          <cell r="E67">
            <v>570900</v>
          </cell>
          <cell r="F67" t="str">
            <v>No Savings</v>
          </cell>
          <cell r="G67" t="str">
            <v>7 Years</v>
          </cell>
          <cell r="I67" t="str">
            <v>Male</v>
          </cell>
          <cell r="N67" t="str">
            <v>Own</v>
          </cell>
          <cell r="P67" t="str">
            <v>Skilled</v>
          </cell>
          <cell r="S67" t="str">
            <v>Yes</v>
          </cell>
        </row>
        <row r="68">
          <cell r="C68" t="str">
            <v>Existing Paid</v>
          </cell>
          <cell r="D68" t="str">
            <v>Radio/Tv</v>
          </cell>
          <cell r="E68">
            <v>238810</v>
          </cell>
          <cell r="F68" t="str">
            <v>Less than 10000</v>
          </cell>
          <cell r="G68" t="str">
            <v>Below 1Years</v>
          </cell>
          <cell r="I68" t="str">
            <v>Female</v>
          </cell>
          <cell r="N68" t="str">
            <v>Own</v>
          </cell>
          <cell r="P68" t="str">
            <v>Skilled</v>
          </cell>
          <cell r="S68" t="str">
            <v>Yes</v>
          </cell>
        </row>
        <row r="69">
          <cell r="C69" t="str">
            <v>Existing Paid</v>
          </cell>
          <cell r="D69" t="str">
            <v>New Car</v>
          </cell>
          <cell r="E69">
            <v>110770</v>
          </cell>
          <cell r="F69" t="str">
            <v>1,00000 or Above</v>
          </cell>
          <cell r="G69" t="str">
            <v>1-4 Years</v>
          </cell>
          <cell r="I69" t="str">
            <v>Male</v>
          </cell>
          <cell r="N69" t="str">
            <v>Own</v>
          </cell>
          <cell r="P69" t="str">
            <v>Skilled</v>
          </cell>
          <cell r="S69" t="str">
            <v>Yes</v>
          </cell>
        </row>
        <row r="70">
          <cell r="C70" t="str">
            <v>Existing Paid</v>
          </cell>
          <cell r="D70" t="str">
            <v>Education</v>
          </cell>
          <cell r="E70">
            <v>200090</v>
          </cell>
          <cell r="F70" t="str">
            <v>Less than 10000</v>
          </cell>
          <cell r="G70" t="str">
            <v>1-4 Years</v>
          </cell>
          <cell r="I70" t="str">
            <v>Male</v>
          </cell>
          <cell r="N70" t="str">
            <v>For Free</v>
          </cell>
          <cell r="P70" t="str">
            <v>Skilled</v>
          </cell>
          <cell r="S70" t="str">
            <v>Yes</v>
          </cell>
        </row>
        <row r="71">
          <cell r="C71" t="str">
            <v>Existing Paid</v>
          </cell>
          <cell r="D71" t="str">
            <v>Radio/Tv</v>
          </cell>
          <cell r="E71">
            <v>263340</v>
          </cell>
          <cell r="F71" t="str">
            <v>No Savings</v>
          </cell>
          <cell r="G71" t="str">
            <v>1-4 Years</v>
          </cell>
          <cell r="I71" t="str">
            <v>Female</v>
          </cell>
          <cell r="N71" t="str">
            <v>Own</v>
          </cell>
          <cell r="P71" t="str">
            <v>Skilled</v>
          </cell>
          <cell r="S71" t="str">
            <v>Yes</v>
          </cell>
        </row>
        <row r="72">
          <cell r="C72" t="str">
            <v>Existing Paid</v>
          </cell>
          <cell r="D72" t="str">
            <v>Used Car</v>
          </cell>
          <cell r="E72">
            <v>894630</v>
          </cell>
          <cell r="F72" t="str">
            <v>Less than 10000</v>
          </cell>
          <cell r="G72" t="str">
            <v>1-4 Years</v>
          </cell>
          <cell r="I72" t="str">
            <v>Female</v>
          </cell>
          <cell r="N72" t="str">
            <v>Own</v>
          </cell>
          <cell r="P72" t="str">
            <v>Skilled</v>
          </cell>
          <cell r="S72" t="str">
            <v>Yes</v>
          </cell>
        </row>
        <row r="73">
          <cell r="C73" t="str">
            <v>Critical/Other Existing Credit</v>
          </cell>
          <cell r="D73" t="str">
            <v>Radio/Tv</v>
          </cell>
          <cell r="E73">
            <v>80300</v>
          </cell>
          <cell r="F73" t="str">
            <v>No Savings</v>
          </cell>
          <cell r="G73" t="str">
            <v>7 Years</v>
          </cell>
          <cell r="I73" t="str">
            <v>Male</v>
          </cell>
          <cell r="N73" t="str">
            <v>Rent</v>
          </cell>
          <cell r="P73" t="str">
            <v>Unskilled Resident</v>
          </cell>
          <cell r="S73" t="str">
            <v>Yes</v>
          </cell>
        </row>
        <row r="74">
          <cell r="C74" t="str">
            <v>Critical/Other Existing Credit</v>
          </cell>
          <cell r="D74" t="str">
            <v>Other</v>
          </cell>
          <cell r="E74">
            <v>128040</v>
          </cell>
          <cell r="F74" t="str">
            <v>Less than 10000</v>
          </cell>
          <cell r="G74" t="str">
            <v>7 Years</v>
          </cell>
          <cell r="I74" t="str">
            <v>Male</v>
          </cell>
          <cell r="N74" t="str">
            <v>For Free</v>
          </cell>
          <cell r="P74" t="str">
            <v>High Qualif/Self Emp/Mgmt</v>
          </cell>
          <cell r="S74" t="str">
            <v>Yes</v>
          </cell>
        </row>
        <row r="75">
          <cell r="C75" t="str">
            <v>Critical/Other Existing Credit</v>
          </cell>
          <cell r="D75" t="str">
            <v>Business</v>
          </cell>
          <cell r="E75">
            <v>654940</v>
          </cell>
          <cell r="F75" t="str">
            <v>Less than 10000</v>
          </cell>
          <cell r="G75" t="str">
            <v>4-6 Years</v>
          </cell>
          <cell r="I75" t="str">
            <v>Female</v>
          </cell>
          <cell r="N75" t="str">
            <v>Own</v>
          </cell>
          <cell r="P75" t="str">
            <v>Unskilled Resident</v>
          </cell>
          <cell r="S75" t="str">
            <v>Yes</v>
          </cell>
        </row>
        <row r="76">
          <cell r="C76" t="str">
            <v>Existing Paid</v>
          </cell>
          <cell r="D76" t="str">
            <v>Education</v>
          </cell>
          <cell r="E76">
            <v>217470</v>
          </cell>
          <cell r="F76" t="str">
            <v>No Savings</v>
          </cell>
          <cell r="G76" t="str">
            <v>7 Years</v>
          </cell>
          <cell r="I76" t="str">
            <v>Male</v>
          </cell>
          <cell r="N76" t="str">
            <v>Own</v>
          </cell>
          <cell r="P76" t="str">
            <v>High Qualif/Self Emp/Mgmt</v>
          </cell>
          <cell r="S76" t="str">
            <v>Yes</v>
          </cell>
        </row>
        <row r="77">
          <cell r="C77" t="str">
            <v>Critical/Other Existing Credit</v>
          </cell>
          <cell r="D77" t="str">
            <v>Used Car</v>
          </cell>
          <cell r="E77">
            <v>167860</v>
          </cell>
          <cell r="F77" t="str">
            <v>Less than 10000</v>
          </cell>
          <cell r="G77" t="str">
            <v>7 Years</v>
          </cell>
          <cell r="I77" t="str">
            <v>Male</v>
          </cell>
          <cell r="N77" t="str">
            <v>For Free</v>
          </cell>
          <cell r="P77" t="str">
            <v>High Qualif/Self Emp/Mgmt</v>
          </cell>
          <cell r="S77" t="str">
            <v>Yes</v>
          </cell>
        </row>
        <row r="78">
          <cell r="C78" t="str">
            <v>Existing Paid</v>
          </cell>
          <cell r="D78" t="str">
            <v>Radio/Tv</v>
          </cell>
          <cell r="E78">
            <v>436150</v>
          </cell>
          <cell r="F78" t="str">
            <v>Less than 10000</v>
          </cell>
          <cell r="G78" t="str">
            <v>Below 1Years</v>
          </cell>
          <cell r="I78" t="str">
            <v>Male</v>
          </cell>
          <cell r="N78" t="str">
            <v>Own</v>
          </cell>
          <cell r="P78" t="str">
            <v>Skilled</v>
          </cell>
          <cell r="S78" t="str">
            <v>Yes</v>
          </cell>
        </row>
        <row r="79">
          <cell r="C79" t="str">
            <v>Delayed Previously</v>
          </cell>
          <cell r="D79" t="str">
            <v>Radio/Tv</v>
          </cell>
          <cell r="E79">
            <v>524810</v>
          </cell>
          <cell r="F79" t="str">
            <v>Less than 10000</v>
          </cell>
          <cell r="G79" t="str">
            <v>4-6 Years</v>
          </cell>
          <cell r="I79" t="str">
            <v>Male</v>
          </cell>
          <cell r="N79" t="str">
            <v>Own</v>
          </cell>
          <cell r="P79" t="str">
            <v>Skilled</v>
          </cell>
          <cell r="S79" t="str">
            <v>Yes</v>
          </cell>
        </row>
        <row r="80">
          <cell r="C80" t="str">
            <v>No Credits/All Paid</v>
          </cell>
          <cell r="D80" t="str">
            <v>Used Car</v>
          </cell>
          <cell r="E80">
            <v>1037960</v>
          </cell>
          <cell r="F80" t="str">
            <v>No Savings</v>
          </cell>
          <cell r="G80" t="str">
            <v>1-4 Years</v>
          </cell>
          <cell r="I80" t="str">
            <v>Male</v>
          </cell>
          <cell r="N80" t="str">
            <v>Own</v>
          </cell>
          <cell r="P80" t="str">
            <v>Unskilled Resident</v>
          </cell>
          <cell r="S80" t="str">
            <v>Yes</v>
          </cell>
        </row>
        <row r="81">
          <cell r="C81" t="str">
            <v>Existing Paid</v>
          </cell>
          <cell r="D81" t="str">
            <v>Furniture/Equipment</v>
          </cell>
          <cell r="E81">
            <v>421520</v>
          </cell>
          <cell r="F81" t="str">
            <v>Less than 10000</v>
          </cell>
          <cell r="G81" t="str">
            <v>Below 1Years</v>
          </cell>
          <cell r="I81" t="str">
            <v>Male</v>
          </cell>
          <cell r="N81" t="str">
            <v>Own</v>
          </cell>
          <cell r="P81" t="str">
            <v>Skilled</v>
          </cell>
          <cell r="S81" t="str">
            <v>Yes</v>
          </cell>
        </row>
        <row r="82">
          <cell r="C82" t="str">
            <v>Existing Paid</v>
          </cell>
          <cell r="D82" t="str">
            <v>Radio/Tv</v>
          </cell>
          <cell r="E82">
            <v>653730</v>
          </cell>
          <cell r="F82" t="str">
            <v>No Savings</v>
          </cell>
          <cell r="G82" t="str">
            <v>Below 1Years</v>
          </cell>
          <cell r="I82" t="str">
            <v>Female</v>
          </cell>
          <cell r="N82" t="str">
            <v>Own</v>
          </cell>
          <cell r="P82" t="str">
            <v>Skilled</v>
          </cell>
          <cell r="S82" t="str">
            <v>Yes</v>
          </cell>
        </row>
        <row r="83">
          <cell r="C83" t="str">
            <v>Existing Paid</v>
          </cell>
          <cell r="D83" t="str">
            <v>Radio/Tv</v>
          </cell>
          <cell r="E83">
            <v>133430</v>
          </cell>
          <cell r="F83" t="str">
            <v>50000 - 99999</v>
          </cell>
          <cell r="G83" t="str">
            <v>7 Years</v>
          </cell>
          <cell r="I83" t="str">
            <v>Male</v>
          </cell>
          <cell r="N83" t="str">
            <v>Own</v>
          </cell>
          <cell r="P83" t="str">
            <v>Skilled</v>
          </cell>
          <cell r="S83" t="str">
            <v>Yes</v>
          </cell>
        </row>
        <row r="84">
          <cell r="C84" t="str">
            <v>Existing Paid</v>
          </cell>
          <cell r="D84" t="str">
            <v>Business</v>
          </cell>
          <cell r="E84">
            <v>172480</v>
          </cell>
          <cell r="F84" t="str">
            <v>10000 - 49999</v>
          </cell>
          <cell r="G84" t="str">
            <v>1-4 Years</v>
          </cell>
          <cell r="I84" t="str">
            <v>Female</v>
          </cell>
          <cell r="N84" t="str">
            <v>Rent</v>
          </cell>
          <cell r="P84" t="str">
            <v>Unskilled Resident</v>
          </cell>
          <cell r="S84" t="str">
            <v>Yes</v>
          </cell>
        </row>
        <row r="85">
          <cell r="C85" t="str">
            <v>Existing Paid</v>
          </cell>
          <cell r="D85" t="str">
            <v>Other</v>
          </cell>
          <cell r="E85">
            <v>193050</v>
          </cell>
          <cell r="F85" t="str">
            <v>Less than 10000</v>
          </cell>
          <cell r="G85" t="str">
            <v>7 Years</v>
          </cell>
          <cell r="I85" t="str">
            <v>Female</v>
          </cell>
          <cell r="N85" t="str">
            <v>Own</v>
          </cell>
          <cell r="P85" t="str">
            <v>Unskilled Resident</v>
          </cell>
          <cell r="S85" t="str">
            <v>Yes</v>
          </cell>
        </row>
        <row r="86">
          <cell r="C86" t="str">
            <v>Existing Paid</v>
          </cell>
          <cell r="D86" t="str">
            <v>Radio/Tv</v>
          </cell>
          <cell r="E86">
            <v>254650</v>
          </cell>
          <cell r="F86" t="str">
            <v>Less than 10000</v>
          </cell>
          <cell r="G86" t="str">
            <v>7 Years</v>
          </cell>
          <cell r="I86" t="str">
            <v>Male</v>
          </cell>
          <cell r="N86" t="str">
            <v>Own</v>
          </cell>
          <cell r="P86" t="str">
            <v>Unskilled Resident</v>
          </cell>
          <cell r="S86" t="str">
            <v>Yes</v>
          </cell>
        </row>
        <row r="87">
          <cell r="C87" t="str">
            <v>Critical/Other Existing Credit</v>
          </cell>
          <cell r="D87" t="str">
            <v>Business</v>
          </cell>
          <cell r="E87">
            <v>155320</v>
          </cell>
          <cell r="F87" t="str">
            <v>Less than 10000</v>
          </cell>
          <cell r="G87" t="str">
            <v>1-4 Years</v>
          </cell>
          <cell r="I87" t="str">
            <v>Female</v>
          </cell>
          <cell r="N87" t="str">
            <v>Own</v>
          </cell>
          <cell r="P87" t="str">
            <v>High Qualif/Self Emp/Mgmt</v>
          </cell>
          <cell r="S87" t="str">
            <v>Yes</v>
          </cell>
        </row>
        <row r="88">
          <cell r="C88" t="str">
            <v>Critical/Other Existing Credit</v>
          </cell>
          <cell r="D88" t="str">
            <v>Furniture/Equipment</v>
          </cell>
          <cell r="E88">
            <v>142450</v>
          </cell>
          <cell r="F88" t="str">
            <v>Less than 10000</v>
          </cell>
          <cell r="G88" t="str">
            <v>Below 1Years</v>
          </cell>
          <cell r="I88" t="str">
            <v>Female</v>
          </cell>
          <cell r="N88" t="str">
            <v>Own</v>
          </cell>
          <cell r="P88" t="str">
            <v>Skilled</v>
          </cell>
          <cell r="S88" t="str">
            <v>Yes</v>
          </cell>
        </row>
        <row r="89">
          <cell r="C89" t="str">
            <v>Existing Paid</v>
          </cell>
          <cell r="D89" t="str">
            <v>Education</v>
          </cell>
          <cell r="E89">
            <v>1387320</v>
          </cell>
          <cell r="F89" t="str">
            <v>10000 - 49999</v>
          </cell>
          <cell r="G89" t="str">
            <v>1-4 Years</v>
          </cell>
          <cell r="I89" t="str">
            <v>Male</v>
          </cell>
          <cell r="N89" t="str">
            <v>For Free</v>
          </cell>
          <cell r="P89" t="str">
            <v>Skilled</v>
          </cell>
          <cell r="S89" t="str">
            <v>Yes</v>
          </cell>
        </row>
        <row r="90">
          <cell r="C90" t="str">
            <v>Existing Paid</v>
          </cell>
          <cell r="D90" t="str">
            <v>New Car</v>
          </cell>
          <cell r="E90">
            <v>247390</v>
          </cell>
          <cell r="F90" t="str">
            <v>10000 - 49999</v>
          </cell>
          <cell r="G90" t="str">
            <v>4-6 Years</v>
          </cell>
          <cell r="I90" t="str">
            <v>Male</v>
          </cell>
          <cell r="N90" t="str">
            <v>Own</v>
          </cell>
          <cell r="P90" t="str">
            <v>High Qualif/Self Emp/Mgmt</v>
          </cell>
          <cell r="S90" t="str">
            <v>Yes</v>
          </cell>
        </row>
        <row r="91">
          <cell r="C91" t="str">
            <v>No Credits/All Paid</v>
          </cell>
          <cell r="D91" t="str">
            <v>Repairs</v>
          </cell>
          <cell r="E91">
            <v>121880</v>
          </cell>
          <cell r="F91" t="str">
            <v>Less than 10000</v>
          </cell>
          <cell r="G91" t="str">
            <v>4-6 Years</v>
          </cell>
          <cell r="I91" t="str">
            <v>Male</v>
          </cell>
          <cell r="N91" t="str">
            <v>Own</v>
          </cell>
          <cell r="P91" t="str">
            <v>Skilled</v>
          </cell>
          <cell r="S91" t="str">
            <v>Yes</v>
          </cell>
        </row>
        <row r="92">
          <cell r="C92" t="str">
            <v>Critical/Other Existing Credit</v>
          </cell>
          <cell r="D92" t="str">
            <v>Radio/Tv</v>
          </cell>
          <cell r="E92">
            <v>67980</v>
          </cell>
          <cell r="F92" t="str">
            <v>Less than 10000</v>
          </cell>
          <cell r="G92" t="str">
            <v>7 Years</v>
          </cell>
          <cell r="I92" t="str">
            <v>Male</v>
          </cell>
          <cell r="N92" t="str">
            <v>Own</v>
          </cell>
          <cell r="P92" t="str">
            <v>Skilled</v>
          </cell>
          <cell r="S92" t="str">
            <v>Yes</v>
          </cell>
        </row>
        <row r="93">
          <cell r="C93" t="str">
            <v>Critical/Other Existing Credit</v>
          </cell>
          <cell r="D93" t="str">
            <v>Used Car</v>
          </cell>
          <cell r="E93">
            <v>154990</v>
          </cell>
          <cell r="F93" t="str">
            <v>Less than 10000</v>
          </cell>
          <cell r="G93" t="str">
            <v>7 Years</v>
          </cell>
          <cell r="I93" t="str">
            <v>Male</v>
          </cell>
          <cell r="N93" t="str">
            <v>Own</v>
          </cell>
          <cell r="P93" t="str">
            <v>Skilled</v>
          </cell>
          <cell r="S93" t="str">
            <v>Yes</v>
          </cell>
        </row>
        <row r="94">
          <cell r="C94" t="str">
            <v>Critical/Other Existing Credit</v>
          </cell>
          <cell r="D94" t="str">
            <v>Radio/Tv</v>
          </cell>
          <cell r="E94">
            <v>87670</v>
          </cell>
          <cell r="F94" t="str">
            <v>No Savings</v>
          </cell>
          <cell r="G94" t="str">
            <v>7 Years</v>
          </cell>
          <cell r="I94" t="str">
            <v>Female</v>
          </cell>
          <cell r="N94" t="str">
            <v>Own</v>
          </cell>
          <cell r="P94" t="str">
            <v>Unskilled Resident</v>
          </cell>
          <cell r="S94" t="str">
            <v>Yes</v>
          </cell>
        </row>
        <row r="95">
          <cell r="C95" t="str">
            <v>Critical/Other Existing Credit</v>
          </cell>
          <cell r="D95" t="str">
            <v>Furniture/Equipment</v>
          </cell>
          <cell r="E95">
            <v>397870</v>
          </cell>
          <cell r="F95" t="str">
            <v>No Savings</v>
          </cell>
          <cell r="G95" t="str">
            <v>7 Years</v>
          </cell>
          <cell r="I95" t="str">
            <v>Male</v>
          </cell>
          <cell r="N95" t="str">
            <v>Rent</v>
          </cell>
          <cell r="P95" t="str">
            <v>Skilled</v>
          </cell>
          <cell r="S95" t="str">
            <v>Yes</v>
          </cell>
        </row>
        <row r="96">
          <cell r="C96" t="str">
            <v>Existing Paid</v>
          </cell>
          <cell r="D96" t="str">
            <v>New Car</v>
          </cell>
          <cell r="E96">
            <v>144980</v>
          </cell>
          <cell r="F96" t="str">
            <v>1,00000 or Above</v>
          </cell>
          <cell r="G96" t="str">
            <v>7 Years</v>
          </cell>
          <cell r="I96" t="str">
            <v>Male</v>
          </cell>
          <cell r="N96" t="str">
            <v>Own</v>
          </cell>
          <cell r="P96" t="str">
            <v>Skilled</v>
          </cell>
          <cell r="S96" t="str">
            <v>Yes</v>
          </cell>
        </row>
        <row r="97">
          <cell r="C97" t="str">
            <v>No Credits/All Paid</v>
          </cell>
          <cell r="D97" t="str">
            <v>Business</v>
          </cell>
          <cell r="E97">
            <v>1753950</v>
          </cell>
          <cell r="F97" t="str">
            <v>Less than 10000</v>
          </cell>
          <cell r="G97" t="str">
            <v>Below 1Years</v>
          </cell>
          <cell r="I97" t="str">
            <v>Male</v>
          </cell>
          <cell r="N97" t="str">
            <v>Rent</v>
          </cell>
          <cell r="P97" t="str">
            <v>Skilled</v>
          </cell>
          <cell r="S97" t="str">
            <v>Yes</v>
          </cell>
        </row>
        <row r="98">
          <cell r="C98" t="str">
            <v>Critical/Other Existing Credit</v>
          </cell>
          <cell r="D98" t="str">
            <v>Education</v>
          </cell>
          <cell r="E98">
            <v>221320</v>
          </cell>
          <cell r="F98" t="str">
            <v>No Savings</v>
          </cell>
          <cell r="G98" t="str">
            <v>4-6 Years</v>
          </cell>
          <cell r="I98" t="str">
            <v>Female</v>
          </cell>
          <cell r="N98" t="str">
            <v>Own</v>
          </cell>
          <cell r="P98" t="str">
            <v>Skilled</v>
          </cell>
          <cell r="S98" t="str">
            <v>Yes</v>
          </cell>
        </row>
        <row r="99">
          <cell r="C99" t="str">
            <v>Existing Paid</v>
          </cell>
          <cell r="D99" t="str">
            <v>Business</v>
          </cell>
          <cell r="E99">
            <v>288420</v>
          </cell>
          <cell r="F99" t="str">
            <v>10000 - 49999</v>
          </cell>
          <cell r="G99" t="str">
            <v>1-4 Years</v>
          </cell>
          <cell r="I99" t="str">
            <v>Male</v>
          </cell>
          <cell r="N99" t="str">
            <v>Own</v>
          </cell>
          <cell r="P99" t="str">
            <v>Skilled</v>
          </cell>
          <cell r="S99" t="str">
            <v>Yes</v>
          </cell>
        </row>
        <row r="100">
          <cell r="C100" t="str">
            <v>Critical/Other Existing Credit</v>
          </cell>
          <cell r="D100" t="str">
            <v>Radio/Tv</v>
          </cell>
          <cell r="E100">
            <v>257070</v>
          </cell>
          <cell r="F100" t="str">
            <v>Less than 10000</v>
          </cell>
          <cell r="G100" t="str">
            <v>7 Years</v>
          </cell>
          <cell r="I100" t="str">
            <v>Male</v>
          </cell>
          <cell r="N100" t="str">
            <v>Own</v>
          </cell>
          <cell r="P100" t="str">
            <v>Skilled</v>
          </cell>
          <cell r="S100" t="str">
            <v>Yes</v>
          </cell>
        </row>
        <row r="101">
          <cell r="C101" t="str">
            <v>Delayed Previously</v>
          </cell>
          <cell r="D101" t="str">
            <v>Used Car</v>
          </cell>
          <cell r="E101">
            <v>776270</v>
          </cell>
          <cell r="F101" t="str">
            <v>No Savings</v>
          </cell>
          <cell r="G101" t="str">
            <v>4-6 Years</v>
          </cell>
          <cell r="I101" t="str">
            <v>Male</v>
          </cell>
          <cell r="N101" t="str">
            <v>Rent</v>
          </cell>
          <cell r="P101" t="str">
            <v>High Qualif/Self Emp/Mgmt</v>
          </cell>
          <cell r="S101" t="str">
            <v>Yes</v>
          </cell>
        </row>
        <row r="102">
          <cell r="C102" t="str">
            <v>Existing Paid</v>
          </cell>
          <cell r="D102" t="str">
            <v>New Car</v>
          </cell>
          <cell r="E102">
            <v>161590</v>
          </cell>
          <cell r="F102" t="str">
            <v>10000 - 49999</v>
          </cell>
          <cell r="G102" t="str">
            <v>7 Years</v>
          </cell>
          <cell r="I102" t="str">
            <v>Male</v>
          </cell>
          <cell r="N102" t="str">
            <v>Rent</v>
          </cell>
          <cell r="P102" t="str">
            <v>Unskilled Resident</v>
          </cell>
          <cell r="S102" t="str">
            <v>Yes</v>
          </cell>
        </row>
        <row r="103">
          <cell r="C103" t="str">
            <v>Existing Paid</v>
          </cell>
          <cell r="D103" t="str">
            <v>Radio/Tv</v>
          </cell>
          <cell r="E103">
            <v>255530</v>
          </cell>
          <cell r="F103" t="str">
            <v>Less than 10000</v>
          </cell>
          <cell r="G103" t="str">
            <v>4-6 Years</v>
          </cell>
          <cell r="I103" t="str">
            <v>Male</v>
          </cell>
          <cell r="N103" t="str">
            <v>Rent</v>
          </cell>
          <cell r="P103" t="str">
            <v>Skilled</v>
          </cell>
          <cell r="S103" t="str">
            <v>Yes</v>
          </cell>
        </row>
        <row r="104">
          <cell r="C104" t="str">
            <v>Delayed Previously</v>
          </cell>
          <cell r="D104" t="str">
            <v>Radio/Tv</v>
          </cell>
          <cell r="E104">
            <v>102520</v>
          </cell>
          <cell r="F104" t="str">
            <v>Less than 10000</v>
          </cell>
          <cell r="G104" t="str">
            <v>1-4 Years</v>
          </cell>
          <cell r="I104" t="str">
            <v>Female</v>
          </cell>
          <cell r="N104" t="str">
            <v>Own</v>
          </cell>
          <cell r="P104" t="str">
            <v>Skilled</v>
          </cell>
          <cell r="S104" t="str">
            <v>Yes</v>
          </cell>
        </row>
        <row r="105">
          <cell r="C105" t="str">
            <v>Critical/Other Existing Credit</v>
          </cell>
          <cell r="D105" t="str">
            <v>Furniture/Equipment</v>
          </cell>
          <cell r="E105">
            <v>211090</v>
          </cell>
          <cell r="F105" t="str">
            <v>Less than 10000</v>
          </cell>
          <cell r="G105" t="str">
            <v>4-6 Years</v>
          </cell>
          <cell r="I105" t="str">
            <v>Male</v>
          </cell>
          <cell r="N105" t="str">
            <v>Rent</v>
          </cell>
          <cell r="P105" t="str">
            <v>Skilled</v>
          </cell>
          <cell r="S105" t="str">
            <v>Yes</v>
          </cell>
        </row>
        <row r="106">
          <cell r="C106" t="str">
            <v>Existing Paid</v>
          </cell>
          <cell r="D106" t="str">
            <v>Used Car</v>
          </cell>
          <cell r="E106">
            <v>268950</v>
          </cell>
          <cell r="F106" t="str">
            <v>No Savings</v>
          </cell>
          <cell r="G106" t="str">
            <v>Below 1Years</v>
          </cell>
          <cell r="I106" t="str">
            <v>Male</v>
          </cell>
          <cell r="N106" t="str">
            <v>Rent</v>
          </cell>
          <cell r="P106" t="str">
            <v>Skilled</v>
          </cell>
          <cell r="S106" t="str">
            <v>Yes</v>
          </cell>
        </row>
        <row r="107">
          <cell r="C107" t="str">
            <v>Critical/Other Existing Credit</v>
          </cell>
          <cell r="D107" t="str">
            <v>Other</v>
          </cell>
          <cell r="E107">
            <v>1313180</v>
          </cell>
          <cell r="F107" t="str">
            <v>Less than 10000</v>
          </cell>
          <cell r="G107" t="str">
            <v>1-4 Years</v>
          </cell>
          <cell r="I107" t="str">
            <v>Male</v>
          </cell>
          <cell r="N107" t="str">
            <v>Own</v>
          </cell>
          <cell r="P107" t="str">
            <v>High Qualif/Self Emp/Mgmt</v>
          </cell>
          <cell r="S107" t="str">
            <v>Yes</v>
          </cell>
        </row>
        <row r="108">
          <cell r="C108" t="str">
            <v>All Paid</v>
          </cell>
          <cell r="D108" t="str">
            <v>New Car</v>
          </cell>
          <cell r="E108">
            <v>710380</v>
          </cell>
          <cell r="F108" t="str">
            <v>Less than 10000</v>
          </cell>
          <cell r="G108" t="str">
            <v>7 Years</v>
          </cell>
          <cell r="I108" t="str">
            <v>Male</v>
          </cell>
          <cell r="N108" t="str">
            <v>Own</v>
          </cell>
          <cell r="P108" t="str">
            <v>High Qualif/Self Emp/Mgmt</v>
          </cell>
          <cell r="S108" t="str">
            <v>Yes</v>
          </cell>
        </row>
        <row r="109">
          <cell r="C109" t="str">
            <v>Existing Paid</v>
          </cell>
          <cell r="D109" t="str">
            <v>New Car</v>
          </cell>
          <cell r="E109">
            <v>668580</v>
          </cell>
          <cell r="F109" t="str">
            <v>Less than 10000</v>
          </cell>
          <cell r="G109" t="str">
            <v>4-6 Years</v>
          </cell>
          <cell r="I109" t="str">
            <v>Male</v>
          </cell>
          <cell r="N109" t="str">
            <v>Own</v>
          </cell>
          <cell r="P109" t="str">
            <v>Skilled</v>
          </cell>
          <cell r="S109" t="str">
            <v>Yes</v>
          </cell>
        </row>
        <row r="110">
          <cell r="C110" t="str">
            <v>Existing Paid</v>
          </cell>
          <cell r="D110" t="str">
            <v>Furniture/Equipment</v>
          </cell>
          <cell r="E110">
            <v>849310</v>
          </cell>
          <cell r="F110" t="str">
            <v>No Savings</v>
          </cell>
          <cell r="G110" t="str">
            <v>Below 1Years</v>
          </cell>
          <cell r="I110" t="str">
            <v>Female</v>
          </cell>
          <cell r="N110" t="str">
            <v>Own</v>
          </cell>
          <cell r="P110" t="str">
            <v>Skilled</v>
          </cell>
          <cell r="S110" t="str">
            <v>No</v>
          </cell>
        </row>
        <row r="111">
          <cell r="C111" t="str">
            <v>Existing Paid</v>
          </cell>
          <cell r="D111" t="str">
            <v>Business</v>
          </cell>
          <cell r="E111">
            <v>155100</v>
          </cell>
          <cell r="F111" t="str">
            <v>50000 - 99999</v>
          </cell>
          <cell r="G111" t="str">
            <v>7 Years</v>
          </cell>
          <cell r="I111" t="str">
            <v>Male</v>
          </cell>
          <cell r="N111" t="str">
            <v>Own</v>
          </cell>
          <cell r="P111" t="str">
            <v>Skilled</v>
          </cell>
          <cell r="S111" t="str">
            <v>Yes</v>
          </cell>
        </row>
        <row r="112">
          <cell r="C112" t="str">
            <v>Delayed Previously</v>
          </cell>
          <cell r="D112" t="str">
            <v>Business</v>
          </cell>
          <cell r="E112">
            <v>159390</v>
          </cell>
          <cell r="F112" t="str">
            <v>10000 - 49999</v>
          </cell>
          <cell r="G112" t="str">
            <v>7 Years</v>
          </cell>
          <cell r="I112" t="str">
            <v>Male</v>
          </cell>
          <cell r="N112" t="str">
            <v>Own</v>
          </cell>
          <cell r="P112" t="str">
            <v>Skilled</v>
          </cell>
          <cell r="S112" t="str">
            <v>Yes</v>
          </cell>
        </row>
        <row r="113">
          <cell r="C113" t="str">
            <v>Existing Paid</v>
          </cell>
          <cell r="D113" t="str">
            <v>Education</v>
          </cell>
          <cell r="E113">
            <v>43120</v>
          </cell>
          <cell r="F113" t="str">
            <v>Less than 10000</v>
          </cell>
          <cell r="G113" t="str">
            <v>Below 1Years</v>
          </cell>
          <cell r="I113" t="str">
            <v>Female</v>
          </cell>
          <cell r="N113" t="str">
            <v>Rent</v>
          </cell>
          <cell r="P113" t="str">
            <v>Skilled</v>
          </cell>
          <cell r="S113" t="str">
            <v>Yes</v>
          </cell>
        </row>
        <row r="114">
          <cell r="C114" t="str">
            <v>Existing Paid</v>
          </cell>
          <cell r="D114" t="str">
            <v>New Car</v>
          </cell>
          <cell r="E114">
            <v>688600</v>
          </cell>
          <cell r="F114" t="str">
            <v>Less than 10000</v>
          </cell>
          <cell r="G114" t="str">
            <v>4-6 Years</v>
          </cell>
          <cell r="I114" t="str">
            <v>Male</v>
          </cell>
          <cell r="N114" t="str">
            <v>Rent</v>
          </cell>
          <cell r="P114" t="str">
            <v>Unskilled Resident</v>
          </cell>
          <cell r="S114" t="str">
            <v>Yes</v>
          </cell>
        </row>
        <row r="115">
          <cell r="C115" t="str">
            <v>Critical/Other Existing Credit</v>
          </cell>
          <cell r="D115" t="str">
            <v>New Car</v>
          </cell>
          <cell r="E115">
            <v>864050</v>
          </cell>
          <cell r="F115" t="str">
            <v>Less than 10000</v>
          </cell>
          <cell r="G115" t="str">
            <v>1-4 Years</v>
          </cell>
          <cell r="I115" t="str">
            <v>Female</v>
          </cell>
          <cell r="N115" t="str">
            <v>Own</v>
          </cell>
          <cell r="P115" t="str">
            <v>Skilled</v>
          </cell>
          <cell r="S115" t="str">
            <v>Yes</v>
          </cell>
        </row>
        <row r="116">
          <cell r="C116" t="str">
            <v>Existing Paid</v>
          </cell>
          <cell r="D116" t="str">
            <v>Radio/Tv</v>
          </cell>
          <cell r="E116">
            <v>184800</v>
          </cell>
          <cell r="F116" t="str">
            <v>50000 - 99999</v>
          </cell>
          <cell r="G116" t="str">
            <v>7 Years</v>
          </cell>
          <cell r="I116" t="str">
            <v>Male</v>
          </cell>
          <cell r="N116" t="str">
            <v>Own</v>
          </cell>
          <cell r="P116" t="str">
            <v>Skilled</v>
          </cell>
          <cell r="S116" t="str">
            <v>Yes</v>
          </cell>
        </row>
        <row r="117">
          <cell r="C117" t="str">
            <v>Critical/Other Existing Credit</v>
          </cell>
          <cell r="D117" t="str">
            <v>Radio/Tv</v>
          </cell>
          <cell r="E117">
            <v>393580</v>
          </cell>
          <cell r="F117" t="str">
            <v>No Savings</v>
          </cell>
          <cell r="G117" t="str">
            <v>7 Years</v>
          </cell>
          <cell r="I117" t="str">
            <v>Male</v>
          </cell>
          <cell r="N117" t="str">
            <v>Own</v>
          </cell>
          <cell r="P117" t="str">
            <v>Skilled</v>
          </cell>
          <cell r="S117" t="str">
            <v>Yes</v>
          </cell>
        </row>
        <row r="118">
          <cell r="C118" t="str">
            <v>Existing Paid</v>
          </cell>
          <cell r="D118" t="str">
            <v>Radio/Tv</v>
          </cell>
          <cell r="E118">
            <v>789140</v>
          </cell>
          <cell r="F118" t="str">
            <v>No Savings</v>
          </cell>
          <cell r="G118" t="str">
            <v>4-6 Years</v>
          </cell>
          <cell r="I118" t="str">
            <v>Female</v>
          </cell>
          <cell r="N118" t="str">
            <v>Own</v>
          </cell>
          <cell r="P118" t="str">
            <v>High Qualif/Self Emp/Mgmt</v>
          </cell>
          <cell r="S118" t="str">
            <v>Yes</v>
          </cell>
        </row>
        <row r="119">
          <cell r="C119" t="str">
            <v>Critical/Other Existing Credit</v>
          </cell>
          <cell r="D119" t="str">
            <v>Furniture/Equipment</v>
          </cell>
          <cell r="E119">
            <v>234520</v>
          </cell>
          <cell r="F119" t="str">
            <v>No Savings</v>
          </cell>
          <cell r="G119" t="str">
            <v>Below 1Years</v>
          </cell>
          <cell r="I119" t="str">
            <v>Female</v>
          </cell>
          <cell r="N119" t="str">
            <v>Rent</v>
          </cell>
          <cell r="P119" t="str">
            <v>Skilled</v>
          </cell>
          <cell r="S119" t="str">
            <v>No</v>
          </cell>
        </row>
        <row r="120">
          <cell r="C120" t="str">
            <v>Critical/Other Existing Credit</v>
          </cell>
          <cell r="D120" t="str">
            <v>Furniture/Equipment</v>
          </cell>
          <cell r="E120">
            <v>470910</v>
          </cell>
          <cell r="F120" t="str">
            <v>50000 - 99999</v>
          </cell>
          <cell r="G120" t="str">
            <v>1-4 Years</v>
          </cell>
          <cell r="I120" t="str">
            <v>Female</v>
          </cell>
          <cell r="N120" t="str">
            <v>Own</v>
          </cell>
          <cell r="P120" t="str">
            <v>Skilled</v>
          </cell>
          <cell r="S120" t="str">
            <v>Yes</v>
          </cell>
        </row>
        <row r="121">
          <cell r="C121" t="str">
            <v>Critical/Other Existing Credit</v>
          </cell>
          <cell r="D121" t="str">
            <v>New Car</v>
          </cell>
          <cell r="E121">
            <v>260260</v>
          </cell>
          <cell r="F121" t="str">
            <v>50000 - 99999</v>
          </cell>
          <cell r="G121" t="str">
            <v>4-6 Years</v>
          </cell>
          <cell r="I121" t="str">
            <v>Male</v>
          </cell>
          <cell r="N121" t="str">
            <v>Own</v>
          </cell>
          <cell r="P121" t="str">
            <v>High Qualif/Self Emp/Mgmt</v>
          </cell>
          <cell r="S121" t="str">
            <v>Yes</v>
          </cell>
        </row>
        <row r="122">
          <cell r="C122" t="str">
            <v>Existing Paid</v>
          </cell>
          <cell r="D122" t="str">
            <v>Radio/Tv</v>
          </cell>
          <cell r="E122">
            <v>201850</v>
          </cell>
          <cell r="F122" t="str">
            <v>Less than 10000</v>
          </cell>
          <cell r="G122" t="str">
            <v>1-4 Years</v>
          </cell>
          <cell r="I122" t="str">
            <v>Female</v>
          </cell>
          <cell r="N122" t="str">
            <v>Own</v>
          </cell>
          <cell r="P122" t="str">
            <v>Skilled</v>
          </cell>
          <cell r="S122" t="str">
            <v>Yes</v>
          </cell>
        </row>
        <row r="123">
          <cell r="C123" t="str">
            <v>Critical/Other Existing Credit</v>
          </cell>
          <cell r="D123" t="str">
            <v>Used Car</v>
          </cell>
          <cell r="E123">
            <v>425480</v>
          </cell>
          <cell r="F123" t="str">
            <v>Less than 10000</v>
          </cell>
          <cell r="G123" t="str">
            <v>7 Years</v>
          </cell>
          <cell r="I123" t="str">
            <v>Female</v>
          </cell>
          <cell r="N123" t="str">
            <v>Rent</v>
          </cell>
          <cell r="P123" t="str">
            <v>High Qualif/Self Emp/Mgmt</v>
          </cell>
          <cell r="S123" t="str">
            <v>Yes</v>
          </cell>
        </row>
        <row r="124">
          <cell r="C124" t="str">
            <v>Existing Paid</v>
          </cell>
          <cell r="D124" t="str">
            <v>Furniture/Equipment</v>
          </cell>
          <cell r="E124">
            <v>194480</v>
          </cell>
          <cell r="F124" t="str">
            <v>Less than 10000</v>
          </cell>
          <cell r="G124" t="str">
            <v>1-4 Years</v>
          </cell>
          <cell r="I124" t="str">
            <v>Male</v>
          </cell>
          <cell r="N124" t="str">
            <v>Rent</v>
          </cell>
          <cell r="P124" t="str">
            <v>Unskilled Resident</v>
          </cell>
          <cell r="S124" t="str">
            <v>Yes</v>
          </cell>
        </row>
        <row r="125">
          <cell r="C125" t="str">
            <v>Critical/Other Existing Credit</v>
          </cell>
          <cell r="D125" t="str">
            <v>New Car</v>
          </cell>
          <cell r="E125">
            <v>85910</v>
          </cell>
          <cell r="F125" t="str">
            <v>Less than 10000</v>
          </cell>
          <cell r="G125" t="str">
            <v>7 Years</v>
          </cell>
          <cell r="I125" t="str">
            <v>Male</v>
          </cell>
          <cell r="N125" t="str">
            <v>For Free</v>
          </cell>
          <cell r="P125" t="str">
            <v>Skilled</v>
          </cell>
          <cell r="S125" t="str">
            <v>Yes</v>
          </cell>
        </row>
        <row r="126">
          <cell r="C126" t="str">
            <v>Existing Paid</v>
          </cell>
          <cell r="D126" t="str">
            <v>Furniture/Equipment</v>
          </cell>
          <cell r="E126">
            <v>211640</v>
          </cell>
          <cell r="F126" t="str">
            <v>No Savings</v>
          </cell>
          <cell r="G126" t="str">
            <v>Below 1Years</v>
          </cell>
          <cell r="I126" t="str">
            <v>Female</v>
          </cell>
          <cell r="N126" t="str">
            <v>Rent</v>
          </cell>
          <cell r="P126" t="str">
            <v>Skilled</v>
          </cell>
          <cell r="S126" t="str">
            <v>Yes</v>
          </cell>
        </row>
        <row r="127">
          <cell r="C127" t="str">
            <v>Critical/Other Existing Credit</v>
          </cell>
          <cell r="D127" t="str">
            <v>New Car</v>
          </cell>
          <cell r="E127">
            <v>233310</v>
          </cell>
          <cell r="F127" t="str">
            <v>Less than 10000</v>
          </cell>
          <cell r="G127" t="str">
            <v>1-4 Years</v>
          </cell>
          <cell r="I127" t="str">
            <v>Male</v>
          </cell>
          <cell r="N127" t="str">
            <v>Own</v>
          </cell>
          <cell r="P127" t="str">
            <v>Skilled</v>
          </cell>
          <cell r="S127" t="str">
            <v>Yes</v>
          </cell>
        </row>
        <row r="128">
          <cell r="C128" t="str">
            <v>Existing Paid</v>
          </cell>
          <cell r="D128" t="str">
            <v>Radio/Tv</v>
          </cell>
          <cell r="E128">
            <v>77110</v>
          </cell>
          <cell r="F128" t="str">
            <v>Less than 10000</v>
          </cell>
          <cell r="G128" t="str">
            <v>1-4 Years</v>
          </cell>
          <cell r="I128" t="str">
            <v>Male</v>
          </cell>
          <cell r="N128" t="str">
            <v>Own</v>
          </cell>
          <cell r="P128" t="str">
            <v>Unskilled Resident</v>
          </cell>
          <cell r="S128" t="str">
            <v>Yes</v>
          </cell>
        </row>
        <row r="129">
          <cell r="C129" t="str">
            <v>Existing Paid</v>
          </cell>
          <cell r="D129" t="str">
            <v>Repairs</v>
          </cell>
          <cell r="E129">
            <v>70290</v>
          </cell>
          <cell r="F129" t="str">
            <v>Less than 10000</v>
          </cell>
          <cell r="G129" t="str">
            <v>1-4 Years</v>
          </cell>
          <cell r="I129" t="str">
            <v>Male</v>
          </cell>
          <cell r="N129" t="str">
            <v>Own</v>
          </cell>
          <cell r="P129" t="str">
            <v>Skilled</v>
          </cell>
          <cell r="S129" t="str">
            <v>Yes</v>
          </cell>
        </row>
        <row r="130">
          <cell r="C130" t="str">
            <v>Critical/Other Existing Credit</v>
          </cell>
          <cell r="D130" t="str">
            <v>Used Car</v>
          </cell>
          <cell r="E130">
            <v>204600</v>
          </cell>
          <cell r="F130" t="str">
            <v>Less than 10000</v>
          </cell>
          <cell r="G130" t="str">
            <v>Unemployed</v>
          </cell>
          <cell r="I130" t="str">
            <v>Male</v>
          </cell>
          <cell r="N130" t="str">
            <v>Own</v>
          </cell>
          <cell r="P130" t="str">
            <v>High Qualif/Self Emp/Mgmt</v>
          </cell>
          <cell r="S130" t="str">
            <v>Yes</v>
          </cell>
        </row>
        <row r="131">
          <cell r="C131" t="str">
            <v>Critical/Other Existing Credit</v>
          </cell>
          <cell r="D131" t="str">
            <v>New Car</v>
          </cell>
          <cell r="E131">
            <v>384890</v>
          </cell>
          <cell r="F131" t="str">
            <v>Less than 10000</v>
          </cell>
          <cell r="G131" t="str">
            <v>1-4 Years</v>
          </cell>
          <cell r="I131" t="str">
            <v>Female</v>
          </cell>
          <cell r="N131" t="str">
            <v>Own</v>
          </cell>
          <cell r="P131" t="str">
            <v>Skilled</v>
          </cell>
          <cell r="S131" t="str">
            <v>Yes</v>
          </cell>
        </row>
        <row r="132">
          <cell r="C132" t="str">
            <v>Existing Paid</v>
          </cell>
          <cell r="D132" t="str">
            <v>New Car</v>
          </cell>
          <cell r="E132">
            <v>933570</v>
          </cell>
          <cell r="F132" t="str">
            <v>No Savings</v>
          </cell>
          <cell r="G132" t="str">
            <v>4-6 Years</v>
          </cell>
          <cell r="I132" t="str">
            <v>Female</v>
          </cell>
          <cell r="N132" t="str">
            <v>Own</v>
          </cell>
          <cell r="P132" t="str">
            <v>Skilled</v>
          </cell>
          <cell r="S132" t="str">
            <v>Yes</v>
          </cell>
        </row>
        <row r="133">
          <cell r="C133" t="str">
            <v>Delayed Previously</v>
          </cell>
          <cell r="D133" t="str">
            <v>Education</v>
          </cell>
          <cell r="E133">
            <v>757570</v>
          </cell>
          <cell r="F133" t="str">
            <v>Less than 10000</v>
          </cell>
          <cell r="G133" t="str">
            <v>1-4 Years</v>
          </cell>
          <cell r="I133" t="str">
            <v>Male</v>
          </cell>
          <cell r="N133" t="str">
            <v>Own</v>
          </cell>
          <cell r="P133" t="str">
            <v>Skilled</v>
          </cell>
          <cell r="S133" t="str">
            <v>Yes</v>
          </cell>
        </row>
        <row r="134">
          <cell r="C134" t="str">
            <v>Existing Paid</v>
          </cell>
          <cell r="D134" t="str">
            <v>Furniture/Equipment</v>
          </cell>
          <cell r="E134">
            <v>297880</v>
          </cell>
          <cell r="F134" t="str">
            <v>Less than 10000</v>
          </cell>
          <cell r="G134" t="str">
            <v>Below 1Years</v>
          </cell>
          <cell r="I134" t="str">
            <v>Male</v>
          </cell>
          <cell r="N134" t="str">
            <v>Own</v>
          </cell>
          <cell r="P134" t="str">
            <v>Unskilled Resident</v>
          </cell>
          <cell r="S134" t="str">
            <v>Yes</v>
          </cell>
        </row>
        <row r="135">
          <cell r="C135" t="str">
            <v>Existing Paid</v>
          </cell>
          <cell r="D135" t="str">
            <v>Furniture/Equipment</v>
          </cell>
          <cell r="E135">
            <v>218240</v>
          </cell>
          <cell r="F135" t="str">
            <v>Less than 10000</v>
          </cell>
          <cell r="G135" t="str">
            <v>1-4 Years</v>
          </cell>
          <cell r="I135" t="str">
            <v>Male</v>
          </cell>
          <cell r="N135" t="str">
            <v>For Free</v>
          </cell>
          <cell r="P135" t="str">
            <v>Skilled</v>
          </cell>
          <cell r="S135" t="str">
            <v>Yes</v>
          </cell>
        </row>
        <row r="136">
          <cell r="C136" t="str">
            <v>Existing Paid</v>
          </cell>
          <cell r="D136" t="str">
            <v>Radio/Tv</v>
          </cell>
          <cell r="E136">
            <v>1115840</v>
          </cell>
          <cell r="F136" t="str">
            <v>10000 - 49999</v>
          </cell>
          <cell r="G136" t="str">
            <v>4-6 Years</v>
          </cell>
          <cell r="I136" t="str">
            <v>Female</v>
          </cell>
          <cell r="N136" t="str">
            <v>Own</v>
          </cell>
          <cell r="P136" t="str">
            <v>Skilled</v>
          </cell>
          <cell r="S136" t="str">
            <v>Yes</v>
          </cell>
        </row>
        <row r="137">
          <cell r="C137" t="str">
            <v>Critical/Other Existing Credit</v>
          </cell>
          <cell r="D137" t="str">
            <v>Radio/Tv</v>
          </cell>
          <cell r="E137">
            <v>136400</v>
          </cell>
          <cell r="F137" t="str">
            <v>No Savings</v>
          </cell>
          <cell r="G137" t="str">
            <v>7 Years</v>
          </cell>
          <cell r="I137" t="str">
            <v>Female</v>
          </cell>
          <cell r="N137" t="str">
            <v>Own</v>
          </cell>
          <cell r="P137" t="str">
            <v>Skilled</v>
          </cell>
          <cell r="S137" t="str">
            <v>Yes</v>
          </cell>
        </row>
        <row r="138">
          <cell r="C138" t="str">
            <v>Delayed Previously</v>
          </cell>
          <cell r="D138" t="str">
            <v>Used Car</v>
          </cell>
          <cell r="E138">
            <v>947430</v>
          </cell>
          <cell r="F138" t="str">
            <v>1,00000 or Above</v>
          </cell>
          <cell r="G138" t="str">
            <v>1-4 Years</v>
          </cell>
          <cell r="I138" t="str">
            <v>Male</v>
          </cell>
          <cell r="N138" t="str">
            <v>Own</v>
          </cell>
          <cell r="P138" t="str">
            <v>Skilled</v>
          </cell>
          <cell r="S138" t="str">
            <v>Yes</v>
          </cell>
        </row>
        <row r="139">
          <cell r="C139" t="str">
            <v>Existing Paid</v>
          </cell>
          <cell r="D139" t="str">
            <v>Radio/Tv</v>
          </cell>
          <cell r="E139">
            <v>84260</v>
          </cell>
          <cell r="F139" t="str">
            <v>50000 - 99999</v>
          </cell>
          <cell r="G139" t="str">
            <v>1-4 Years</v>
          </cell>
          <cell r="I139" t="str">
            <v>Male</v>
          </cell>
          <cell r="N139" t="str">
            <v>Own</v>
          </cell>
          <cell r="P139" t="str">
            <v>Unskilled Resident</v>
          </cell>
          <cell r="S139" t="str">
            <v>Yes</v>
          </cell>
        </row>
        <row r="140">
          <cell r="C140" t="str">
            <v>Critical/Other Existing Credit</v>
          </cell>
          <cell r="D140" t="str">
            <v>Radio/Tv</v>
          </cell>
          <cell r="E140">
            <v>300080</v>
          </cell>
          <cell r="F140" t="str">
            <v>No Savings</v>
          </cell>
          <cell r="G140" t="str">
            <v>4-6 Years</v>
          </cell>
          <cell r="I140" t="str">
            <v>Male</v>
          </cell>
          <cell r="N140" t="str">
            <v>Own</v>
          </cell>
          <cell r="P140" t="str">
            <v>Skilled</v>
          </cell>
          <cell r="S140" t="str">
            <v>Yes</v>
          </cell>
        </row>
        <row r="141">
          <cell r="C141" t="str">
            <v>Existing Paid</v>
          </cell>
          <cell r="D141" t="str">
            <v>Radio/Tv</v>
          </cell>
          <cell r="E141">
            <v>206910</v>
          </cell>
          <cell r="F141" t="str">
            <v>Less than 10000</v>
          </cell>
          <cell r="G141" t="str">
            <v>1-4 Years</v>
          </cell>
          <cell r="I141" t="str">
            <v>Female</v>
          </cell>
          <cell r="N141" t="str">
            <v>Rent</v>
          </cell>
          <cell r="P141" t="str">
            <v>Unskilled Resident</v>
          </cell>
          <cell r="S141" t="str">
            <v>Yes</v>
          </cell>
        </row>
        <row r="142">
          <cell r="C142" t="str">
            <v>Existing Paid</v>
          </cell>
          <cell r="D142" t="str">
            <v>New Car</v>
          </cell>
          <cell r="E142">
            <v>77990</v>
          </cell>
          <cell r="F142" t="str">
            <v>1,00000 or Above</v>
          </cell>
          <cell r="G142" t="str">
            <v>Below 1Years</v>
          </cell>
          <cell r="I142" t="str">
            <v>Male</v>
          </cell>
          <cell r="N142" t="str">
            <v>Own</v>
          </cell>
          <cell r="P142" t="str">
            <v>Unemp/Unskilled Non Res</v>
          </cell>
          <cell r="S142" t="str">
            <v>No</v>
          </cell>
        </row>
        <row r="143">
          <cell r="C143" t="str">
            <v>Existing Paid</v>
          </cell>
          <cell r="D143" t="str">
            <v>Radio/Tv</v>
          </cell>
          <cell r="E143">
            <v>527450</v>
          </cell>
          <cell r="F143" t="str">
            <v>Less than 10000</v>
          </cell>
          <cell r="G143" t="str">
            <v>Below 1Years</v>
          </cell>
          <cell r="I143" t="str">
            <v>Female</v>
          </cell>
          <cell r="N143" t="str">
            <v>Own</v>
          </cell>
          <cell r="P143" t="str">
            <v>High Qualif/Self Emp/Mgmt</v>
          </cell>
          <cell r="S143" t="str">
            <v>Yes</v>
          </cell>
        </row>
        <row r="144">
          <cell r="C144" t="str">
            <v>Existing Paid</v>
          </cell>
          <cell r="D144" t="str">
            <v>Radio/Tv</v>
          </cell>
          <cell r="E144">
            <v>375760</v>
          </cell>
          <cell r="F144" t="str">
            <v>Less than 10000</v>
          </cell>
          <cell r="G144" t="str">
            <v>1-4 Years</v>
          </cell>
          <cell r="I144" t="str">
            <v>Male</v>
          </cell>
          <cell r="N144" t="str">
            <v>Own</v>
          </cell>
          <cell r="P144" t="str">
            <v>High Qualif/Self Emp/Mgmt</v>
          </cell>
          <cell r="S144" t="str">
            <v>Yes</v>
          </cell>
        </row>
        <row r="145">
          <cell r="C145" t="str">
            <v>Existing Paid</v>
          </cell>
          <cell r="D145" t="str">
            <v>Furniture/Equipment</v>
          </cell>
          <cell r="E145">
            <v>270820</v>
          </cell>
          <cell r="F145" t="str">
            <v>Less than 10000</v>
          </cell>
          <cell r="G145" t="str">
            <v>1-4 Years</v>
          </cell>
          <cell r="I145" t="str">
            <v>Male</v>
          </cell>
          <cell r="N145" t="str">
            <v>Own</v>
          </cell>
          <cell r="P145" t="str">
            <v>Skilled</v>
          </cell>
          <cell r="S145" t="str">
            <v>Yes</v>
          </cell>
        </row>
        <row r="146">
          <cell r="C146" t="str">
            <v>Critical/Other Existing Credit</v>
          </cell>
          <cell r="D146" t="str">
            <v>Furniture/Equipment</v>
          </cell>
          <cell r="E146">
            <v>251680</v>
          </cell>
          <cell r="F146" t="str">
            <v>Less than 10000</v>
          </cell>
          <cell r="G146" t="str">
            <v>Below 1Years</v>
          </cell>
          <cell r="I146" t="str">
            <v>Female</v>
          </cell>
          <cell r="N146" t="str">
            <v>Own</v>
          </cell>
          <cell r="P146" t="str">
            <v>Skilled</v>
          </cell>
          <cell r="S146" t="str">
            <v>Yes</v>
          </cell>
        </row>
        <row r="147">
          <cell r="C147" t="str">
            <v>All Paid</v>
          </cell>
          <cell r="D147" t="str">
            <v>Business</v>
          </cell>
          <cell r="E147">
            <v>392260</v>
          </cell>
          <cell r="F147" t="str">
            <v>10000 - 49999</v>
          </cell>
          <cell r="G147" t="str">
            <v>4-6 Years</v>
          </cell>
          <cell r="I147" t="str">
            <v>Male</v>
          </cell>
          <cell r="N147" t="str">
            <v>Own</v>
          </cell>
          <cell r="P147" t="str">
            <v>Skilled</v>
          </cell>
          <cell r="S147" t="str">
            <v>Yes</v>
          </cell>
        </row>
        <row r="148">
          <cell r="C148" t="str">
            <v>Critical/Other Existing Credit</v>
          </cell>
          <cell r="D148" t="str">
            <v>New Car</v>
          </cell>
          <cell r="E148">
            <v>94600</v>
          </cell>
          <cell r="F148" t="str">
            <v>Less than 10000</v>
          </cell>
          <cell r="G148" t="str">
            <v>7 Years</v>
          </cell>
          <cell r="I148" t="str">
            <v>Female</v>
          </cell>
          <cell r="N148" t="str">
            <v>Own</v>
          </cell>
          <cell r="P148" t="str">
            <v>Skilled</v>
          </cell>
          <cell r="S148" t="str">
            <v>Yes</v>
          </cell>
        </row>
        <row r="149">
          <cell r="C149" t="str">
            <v>Critical/Other Existing Credit</v>
          </cell>
          <cell r="D149" t="str">
            <v>New Car</v>
          </cell>
          <cell r="E149">
            <v>75020</v>
          </cell>
          <cell r="F149" t="str">
            <v>10000 - 49999</v>
          </cell>
          <cell r="G149" t="str">
            <v>4-6 Years</v>
          </cell>
          <cell r="I149" t="str">
            <v>Female</v>
          </cell>
          <cell r="N149" t="str">
            <v>Own</v>
          </cell>
          <cell r="P149" t="str">
            <v>Skilled</v>
          </cell>
          <cell r="S149" t="str">
            <v>Yes</v>
          </cell>
        </row>
        <row r="150">
          <cell r="C150" t="str">
            <v>Critical/Other Existing Credit</v>
          </cell>
          <cell r="D150" t="str">
            <v>Furniture/Equipment</v>
          </cell>
          <cell r="E150">
            <v>590810</v>
          </cell>
          <cell r="F150" t="str">
            <v>Less than 10000</v>
          </cell>
          <cell r="G150" t="str">
            <v>1-4 Years</v>
          </cell>
          <cell r="I150" t="str">
            <v>Male</v>
          </cell>
          <cell r="N150" t="str">
            <v>Own</v>
          </cell>
          <cell r="P150" t="str">
            <v>Skilled</v>
          </cell>
          <cell r="S150" t="str">
            <v>Yes</v>
          </cell>
        </row>
        <row r="151">
          <cell r="C151" t="str">
            <v>Critical/Other Existing Credit</v>
          </cell>
          <cell r="D151" t="str">
            <v>Radio/Tv</v>
          </cell>
          <cell r="E151">
            <v>174020</v>
          </cell>
          <cell r="F151" t="str">
            <v>1,00000 or Above</v>
          </cell>
          <cell r="G151" t="str">
            <v>7 Years</v>
          </cell>
          <cell r="I151" t="str">
            <v>Male</v>
          </cell>
          <cell r="N151" t="str">
            <v>Own</v>
          </cell>
          <cell r="P151" t="str">
            <v>Skilled</v>
          </cell>
          <cell r="S151" t="str">
            <v>Yes</v>
          </cell>
        </row>
        <row r="152">
          <cell r="C152" t="str">
            <v>Existing Paid</v>
          </cell>
          <cell r="D152" t="str">
            <v>Radio/Tv</v>
          </cell>
          <cell r="E152">
            <v>148060</v>
          </cell>
          <cell r="F152" t="str">
            <v>10000 - 49999</v>
          </cell>
          <cell r="G152" t="str">
            <v>7 Years</v>
          </cell>
          <cell r="I152" t="str">
            <v>Male</v>
          </cell>
          <cell r="N152" t="str">
            <v>For Free</v>
          </cell>
          <cell r="P152" t="str">
            <v>Skilled</v>
          </cell>
          <cell r="S152" t="str">
            <v>Yes</v>
          </cell>
        </row>
        <row r="153">
          <cell r="C153" t="str">
            <v>Existing Paid</v>
          </cell>
          <cell r="D153" t="str">
            <v>Radio/Tv</v>
          </cell>
          <cell r="E153">
            <v>211640</v>
          </cell>
          <cell r="F153" t="str">
            <v>Less than 10000</v>
          </cell>
          <cell r="G153" t="str">
            <v>1-4 Years</v>
          </cell>
          <cell r="I153" t="str">
            <v>Male</v>
          </cell>
          <cell r="N153" t="str">
            <v>Own</v>
          </cell>
          <cell r="P153" t="str">
            <v>Skilled</v>
          </cell>
          <cell r="S153" t="str">
            <v>No</v>
          </cell>
        </row>
        <row r="154">
          <cell r="C154" t="str">
            <v>Existing Paid</v>
          </cell>
          <cell r="D154" t="str">
            <v>Radio/Tv</v>
          </cell>
          <cell r="E154">
            <v>643280</v>
          </cell>
          <cell r="F154" t="str">
            <v>Less than 10000</v>
          </cell>
          <cell r="G154" t="str">
            <v>1-4 Years</v>
          </cell>
          <cell r="I154" t="str">
            <v>Male</v>
          </cell>
          <cell r="N154" t="str">
            <v>Own</v>
          </cell>
          <cell r="P154" t="str">
            <v>Skilled</v>
          </cell>
          <cell r="S154" t="str">
            <v>Yes</v>
          </cell>
        </row>
        <row r="155">
          <cell r="C155" t="str">
            <v>Critical/Other Existing Credit</v>
          </cell>
          <cell r="D155" t="str">
            <v>Used Car</v>
          </cell>
          <cell r="E155">
            <v>853380</v>
          </cell>
          <cell r="F155" t="str">
            <v>1,00000 or Above</v>
          </cell>
          <cell r="G155" t="str">
            <v>7 Years</v>
          </cell>
          <cell r="I155" t="str">
            <v>Female</v>
          </cell>
          <cell r="N155" t="str">
            <v>Rent</v>
          </cell>
          <cell r="P155" t="str">
            <v>Skilled</v>
          </cell>
          <cell r="S155" t="str">
            <v>Yes</v>
          </cell>
        </row>
        <row r="156">
          <cell r="C156" t="str">
            <v>Delayed Previously</v>
          </cell>
          <cell r="D156" t="str">
            <v>Business</v>
          </cell>
          <cell r="E156">
            <v>766370</v>
          </cell>
          <cell r="F156" t="str">
            <v>10000 - 49999</v>
          </cell>
          <cell r="G156" t="str">
            <v>4-6 Years</v>
          </cell>
          <cell r="I156" t="str">
            <v>Male</v>
          </cell>
          <cell r="N156" t="str">
            <v>Rent</v>
          </cell>
          <cell r="P156" t="str">
            <v>High Qualif/Self Emp/Mgmt</v>
          </cell>
          <cell r="S156" t="str">
            <v>Yes</v>
          </cell>
        </row>
        <row r="157">
          <cell r="C157" t="str">
            <v>Existing Paid</v>
          </cell>
          <cell r="D157" t="str">
            <v>Furniture/Equipment</v>
          </cell>
          <cell r="E157">
            <v>141020</v>
          </cell>
          <cell r="F157" t="str">
            <v>Less than 10000</v>
          </cell>
          <cell r="G157" t="str">
            <v>1-4 Years</v>
          </cell>
          <cell r="I157" t="str">
            <v>Female</v>
          </cell>
          <cell r="N157" t="str">
            <v>Rent</v>
          </cell>
          <cell r="P157" t="str">
            <v>Skilled</v>
          </cell>
          <cell r="S157" t="str">
            <v>Yes</v>
          </cell>
        </row>
        <row r="158">
          <cell r="C158" t="str">
            <v>Critical/Other Existing Credit</v>
          </cell>
          <cell r="D158" t="str">
            <v>Repairs</v>
          </cell>
          <cell r="E158">
            <v>141680</v>
          </cell>
          <cell r="F158" t="str">
            <v>10000 - 49999</v>
          </cell>
          <cell r="G158" t="str">
            <v>7 Years</v>
          </cell>
          <cell r="I158" t="str">
            <v>Male</v>
          </cell>
          <cell r="N158" t="str">
            <v>Own</v>
          </cell>
          <cell r="P158" t="str">
            <v>Skilled</v>
          </cell>
          <cell r="S158" t="str">
            <v>No</v>
          </cell>
        </row>
        <row r="159">
          <cell r="C159" t="str">
            <v>All Paid</v>
          </cell>
          <cell r="D159" t="str">
            <v>Retraining</v>
          </cell>
          <cell r="E159">
            <v>37290</v>
          </cell>
          <cell r="F159" t="str">
            <v>Less than 10000</v>
          </cell>
          <cell r="G159" t="str">
            <v>7 Years</v>
          </cell>
          <cell r="I159" t="str">
            <v>Male</v>
          </cell>
          <cell r="N159" t="str">
            <v>Own</v>
          </cell>
          <cell r="P159" t="str">
            <v>Unskilled Resident</v>
          </cell>
          <cell r="S159" t="str">
            <v>Yes</v>
          </cell>
        </row>
        <row r="160">
          <cell r="C160" t="str">
            <v>Existing Paid</v>
          </cell>
          <cell r="D160" t="str">
            <v>New Car</v>
          </cell>
          <cell r="E160">
            <v>386320</v>
          </cell>
          <cell r="F160" t="str">
            <v>10000 - 49999</v>
          </cell>
          <cell r="G160" t="str">
            <v>4-6 Years</v>
          </cell>
          <cell r="I160" t="str">
            <v>Male</v>
          </cell>
          <cell r="N160" t="str">
            <v>Own</v>
          </cell>
          <cell r="P160" t="str">
            <v>Skilled</v>
          </cell>
          <cell r="S160" t="str">
            <v>Yes</v>
          </cell>
        </row>
        <row r="161">
          <cell r="C161" t="str">
            <v>Critical/Other Existing Credit</v>
          </cell>
          <cell r="D161" t="str">
            <v>Radio/Tv</v>
          </cell>
          <cell r="E161">
            <v>208780</v>
          </cell>
          <cell r="F161" t="str">
            <v>No Savings</v>
          </cell>
          <cell r="G161" t="str">
            <v>1-4 Years</v>
          </cell>
          <cell r="I161" t="str">
            <v>Male</v>
          </cell>
          <cell r="N161" t="str">
            <v>Own</v>
          </cell>
          <cell r="P161" t="str">
            <v>Unskilled Resident</v>
          </cell>
          <cell r="S161" t="str">
            <v>Yes</v>
          </cell>
        </row>
        <row r="162">
          <cell r="C162" t="str">
            <v>Critical/Other Existing Credit</v>
          </cell>
          <cell r="D162" t="str">
            <v>Radio/Tv</v>
          </cell>
          <cell r="E162">
            <v>315920</v>
          </cell>
          <cell r="F162" t="str">
            <v>10000 - 49999</v>
          </cell>
          <cell r="G162" t="str">
            <v>7 Years</v>
          </cell>
          <cell r="I162" t="str">
            <v>Male</v>
          </cell>
          <cell r="N162" t="str">
            <v>Own</v>
          </cell>
          <cell r="P162" t="str">
            <v>Skilled</v>
          </cell>
          <cell r="S162" t="str">
            <v>Yes</v>
          </cell>
        </row>
        <row r="163">
          <cell r="C163" t="str">
            <v>Critical/Other Existing Credit</v>
          </cell>
          <cell r="D163" t="str">
            <v>New Car</v>
          </cell>
          <cell r="E163">
            <v>116050</v>
          </cell>
          <cell r="F163" t="str">
            <v>Less than 10000</v>
          </cell>
          <cell r="G163" t="str">
            <v>Below 1Years</v>
          </cell>
          <cell r="I163" t="str">
            <v>Female</v>
          </cell>
          <cell r="N163" t="str">
            <v>Own</v>
          </cell>
          <cell r="P163" t="str">
            <v>Skilled</v>
          </cell>
          <cell r="S163" t="str">
            <v>Yes</v>
          </cell>
        </row>
        <row r="164">
          <cell r="C164" t="str">
            <v>Existing Paid</v>
          </cell>
          <cell r="D164" t="str">
            <v>Domestic Appliance</v>
          </cell>
          <cell r="E164">
            <v>138820</v>
          </cell>
          <cell r="F164" t="str">
            <v>50000 - 99999</v>
          </cell>
          <cell r="G164" t="str">
            <v>4-6 Years</v>
          </cell>
          <cell r="I164" t="str">
            <v>Male</v>
          </cell>
          <cell r="N164" t="str">
            <v>Own</v>
          </cell>
          <cell r="P164" t="str">
            <v>Skilled</v>
          </cell>
          <cell r="S164" t="str">
            <v>Yes</v>
          </cell>
        </row>
        <row r="165">
          <cell r="C165" t="str">
            <v>Existing Paid</v>
          </cell>
          <cell r="D165" t="str">
            <v>New Car</v>
          </cell>
          <cell r="E165">
            <v>803880</v>
          </cell>
          <cell r="F165" t="str">
            <v>Less than 10000</v>
          </cell>
          <cell r="G165" t="str">
            <v>Unemployed</v>
          </cell>
          <cell r="I165" t="str">
            <v>Male</v>
          </cell>
          <cell r="N165" t="str">
            <v>For Free</v>
          </cell>
          <cell r="P165" t="str">
            <v>High Qualif/Self Emp/Mgmt</v>
          </cell>
          <cell r="S165" t="str">
            <v>Yes</v>
          </cell>
        </row>
        <row r="166">
          <cell r="C166" t="str">
            <v>Existing Paid</v>
          </cell>
          <cell r="D166" t="str">
            <v>New Car</v>
          </cell>
          <cell r="E166">
            <v>99990</v>
          </cell>
          <cell r="F166" t="str">
            <v>50000 - 99999</v>
          </cell>
          <cell r="G166" t="str">
            <v>7 Years</v>
          </cell>
          <cell r="I166" t="str">
            <v>Male</v>
          </cell>
          <cell r="N166" t="str">
            <v>Own</v>
          </cell>
          <cell r="P166" t="str">
            <v>Skilled</v>
          </cell>
          <cell r="S166" t="str">
            <v>Yes</v>
          </cell>
        </row>
        <row r="167">
          <cell r="C167" t="str">
            <v>Existing Paid</v>
          </cell>
          <cell r="D167" t="str">
            <v>Furniture/Equipment</v>
          </cell>
          <cell r="E167">
            <v>327580</v>
          </cell>
          <cell r="F167" t="str">
            <v>50000 - 99999</v>
          </cell>
          <cell r="G167" t="str">
            <v>1-4 Years</v>
          </cell>
          <cell r="I167" t="str">
            <v>Male</v>
          </cell>
          <cell r="N167" t="str">
            <v>Own</v>
          </cell>
          <cell r="P167" t="str">
            <v>Skilled</v>
          </cell>
          <cell r="S167" t="str">
            <v>Yes</v>
          </cell>
        </row>
        <row r="168">
          <cell r="C168" t="str">
            <v>Existing Paid</v>
          </cell>
          <cell r="D168" t="str">
            <v>Furniture/Equipment</v>
          </cell>
          <cell r="E168">
            <v>124410</v>
          </cell>
          <cell r="F168" t="str">
            <v>Less than 10000</v>
          </cell>
          <cell r="G168" t="str">
            <v>Unemployed</v>
          </cell>
          <cell r="I168" t="str">
            <v>Female</v>
          </cell>
          <cell r="N168" t="str">
            <v>Own</v>
          </cell>
          <cell r="P168" t="str">
            <v>Skilled</v>
          </cell>
          <cell r="S168" t="str">
            <v>Yes</v>
          </cell>
        </row>
        <row r="169">
          <cell r="C169" t="str">
            <v>Existing Paid</v>
          </cell>
          <cell r="D169" t="str">
            <v>Furniture/Equipment</v>
          </cell>
          <cell r="E169">
            <v>173470</v>
          </cell>
          <cell r="F169" t="str">
            <v>1,00000 or Above</v>
          </cell>
          <cell r="G169" t="str">
            <v>Below 1Years</v>
          </cell>
          <cell r="I169" t="str">
            <v>Female</v>
          </cell>
          <cell r="N169" t="str">
            <v>Own</v>
          </cell>
          <cell r="P169" t="str">
            <v>Skilled</v>
          </cell>
          <cell r="S169" t="str">
            <v>Yes</v>
          </cell>
        </row>
        <row r="170">
          <cell r="C170" t="str">
            <v>Existing Paid</v>
          </cell>
          <cell r="D170" t="str">
            <v>Furniture/Equipment</v>
          </cell>
          <cell r="E170">
            <v>436920</v>
          </cell>
          <cell r="F170" t="str">
            <v>Less than 10000</v>
          </cell>
          <cell r="G170" t="str">
            <v>4-6 Years</v>
          </cell>
          <cell r="I170" t="str">
            <v>Female</v>
          </cell>
          <cell r="N170" t="str">
            <v>Rent</v>
          </cell>
          <cell r="P170" t="str">
            <v>Skilled</v>
          </cell>
          <cell r="S170" t="str">
            <v>Yes</v>
          </cell>
        </row>
        <row r="171">
          <cell r="C171" t="str">
            <v>Critical/Other Existing Credit</v>
          </cell>
          <cell r="D171" t="str">
            <v>Business</v>
          </cell>
          <cell r="E171">
            <v>212850</v>
          </cell>
          <cell r="F171" t="str">
            <v>Less than 10000</v>
          </cell>
          <cell r="G171" t="str">
            <v>7 Years</v>
          </cell>
          <cell r="I171" t="str">
            <v>Male</v>
          </cell>
          <cell r="N171" t="str">
            <v>Own</v>
          </cell>
          <cell r="P171" t="str">
            <v>Skilled</v>
          </cell>
          <cell r="S171" t="str">
            <v>Yes</v>
          </cell>
        </row>
        <row r="172">
          <cell r="C172" t="str">
            <v>No Credits/All Paid</v>
          </cell>
          <cell r="D172" t="str">
            <v>New Car</v>
          </cell>
          <cell r="E172">
            <v>104500</v>
          </cell>
          <cell r="F172" t="str">
            <v>Less than 10000</v>
          </cell>
          <cell r="G172" t="str">
            <v>7 Years</v>
          </cell>
          <cell r="I172" t="str">
            <v>Male</v>
          </cell>
          <cell r="N172" t="str">
            <v>Rent</v>
          </cell>
          <cell r="P172" t="str">
            <v>Skilled</v>
          </cell>
          <cell r="S172" t="str">
            <v>Yes</v>
          </cell>
        </row>
        <row r="173">
          <cell r="C173" t="str">
            <v>Existing Paid</v>
          </cell>
          <cell r="D173" t="str">
            <v>Furniture/Equipment</v>
          </cell>
          <cell r="E173">
            <v>83930</v>
          </cell>
          <cell r="F173" t="str">
            <v>Less than 10000</v>
          </cell>
          <cell r="G173" t="str">
            <v>1-4 Years</v>
          </cell>
          <cell r="I173" t="str">
            <v>Female</v>
          </cell>
          <cell r="N173" t="str">
            <v>Own</v>
          </cell>
          <cell r="P173" t="str">
            <v>Skilled</v>
          </cell>
          <cell r="S173" t="str">
            <v>Yes</v>
          </cell>
        </row>
        <row r="174">
          <cell r="C174" t="str">
            <v>Delayed Previously</v>
          </cell>
          <cell r="D174" t="str">
            <v>Furniture/Equipment</v>
          </cell>
          <cell r="E174">
            <v>227040</v>
          </cell>
          <cell r="F174" t="str">
            <v>Less than 10000</v>
          </cell>
          <cell r="G174" t="str">
            <v>Unemployed</v>
          </cell>
          <cell r="I174" t="str">
            <v>Female</v>
          </cell>
          <cell r="N174" t="str">
            <v>Own</v>
          </cell>
          <cell r="P174" t="str">
            <v>High Qualif/Self Emp/Mgmt</v>
          </cell>
          <cell r="S174" t="str">
            <v>Yes</v>
          </cell>
        </row>
        <row r="175">
          <cell r="C175" t="str">
            <v>Existing Paid</v>
          </cell>
          <cell r="D175" t="str">
            <v>Radio/Tv</v>
          </cell>
          <cell r="E175">
            <v>155540</v>
          </cell>
          <cell r="F175" t="str">
            <v>Less than 10000</v>
          </cell>
          <cell r="G175" t="str">
            <v>1-4 Years</v>
          </cell>
          <cell r="I175" t="str">
            <v>Male</v>
          </cell>
          <cell r="N175" t="str">
            <v>Own</v>
          </cell>
          <cell r="P175" t="str">
            <v>Skilled</v>
          </cell>
          <cell r="S175" t="str">
            <v>No</v>
          </cell>
        </row>
        <row r="176">
          <cell r="C176" t="str">
            <v>Delayed Previously</v>
          </cell>
          <cell r="D176" t="str">
            <v>Education</v>
          </cell>
          <cell r="E176">
            <v>375540</v>
          </cell>
          <cell r="F176" t="str">
            <v>Less than 10000</v>
          </cell>
          <cell r="G176" t="str">
            <v>Below 1Years</v>
          </cell>
          <cell r="I176" t="str">
            <v>Male</v>
          </cell>
          <cell r="N176" t="str">
            <v>Own</v>
          </cell>
          <cell r="P176" t="str">
            <v>Skilled</v>
          </cell>
          <cell r="S176" t="str">
            <v>Yes</v>
          </cell>
        </row>
        <row r="177">
          <cell r="C177" t="str">
            <v>All Paid</v>
          </cell>
          <cell r="D177" t="str">
            <v>Used Car</v>
          </cell>
          <cell r="E177">
            <v>823350</v>
          </cell>
          <cell r="F177" t="str">
            <v>No Savings</v>
          </cell>
          <cell r="G177" t="str">
            <v>Unemployed</v>
          </cell>
          <cell r="I177" t="str">
            <v>Female</v>
          </cell>
          <cell r="N177" t="str">
            <v>Own</v>
          </cell>
          <cell r="P177" t="str">
            <v>High Qualif/Self Emp/Mgmt</v>
          </cell>
          <cell r="S177" t="str">
            <v>Yes</v>
          </cell>
        </row>
        <row r="178">
          <cell r="C178" t="str">
            <v>Existing Paid</v>
          </cell>
          <cell r="D178" t="str">
            <v>Furniture/Equipment</v>
          </cell>
          <cell r="E178">
            <v>283470</v>
          </cell>
          <cell r="F178" t="str">
            <v>Less than 10000</v>
          </cell>
          <cell r="G178" t="str">
            <v>1-4 Years</v>
          </cell>
          <cell r="I178" t="str">
            <v>Male</v>
          </cell>
          <cell r="N178" t="str">
            <v>Own</v>
          </cell>
          <cell r="P178" t="str">
            <v>Skilled</v>
          </cell>
          <cell r="S178" t="str">
            <v>Yes</v>
          </cell>
        </row>
        <row r="179">
          <cell r="C179" t="str">
            <v>Critical/Other Existing Credit</v>
          </cell>
          <cell r="D179" t="str">
            <v>Radio/Tv</v>
          </cell>
          <cell r="E179">
            <v>37180</v>
          </cell>
          <cell r="F179" t="str">
            <v>50000 - 99999</v>
          </cell>
          <cell r="G179" t="str">
            <v>7 Years</v>
          </cell>
          <cell r="I179" t="str">
            <v>Male</v>
          </cell>
          <cell r="N179" t="str">
            <v>Own</v>
          </cell>
          <cell r="P179" t="str">
            <v>Skilled</v>
          </cell>
          <cell r="S179" t="str">
            <v>Yes</v>
          </cell>
        </row>
        <row r="180">
          <cell r="C180" t="str">
            <v>Existing Paid</v>
          </cell>
          <cell r="D180" t="str">
            <v>Radio/Tv</v>
          </cell>
          <cell r="E180">
            <v>215930</v>
          </cell>
          <cell r="F180" t="str">
            <v>Less than 10000</v>
          </cell>
          <cell r="G180" t="str">
            <v>4-6 Years</v>
          </cell>
          <cell r="I180" t="str">
            <v>Male</v>
          </cell>
          <cell r="N180" t="str">
            <v>Rent</v>
          </cell>
          <cell r="P180" t="str">
            <v>High Qualif/Self Emp/Mgmt</v>
          </cell>
          <cell r="S180" t="str">
            <v>Yes</v>
          </cell>
        </row>
        <row r="181">
          <cell r="C181" t="str">
            <v>Critical/Other Existing Credit</v>
          </cell>
          <cell r="D181" t="str">
            <v>New Car</v>
          </cell>
          <cell r="E181">
            <v>62810</v>
          </cell>
          <cell r="F181" t="str">
            <v>Less than 10000</v>
          </cell>
          <cell r="G181" t="str">
            <v>7 Years</v>
          </cell>
          <cell r="I181" t="str">
            <v>Male</v>
          </cell>
          <cell r="N181" t="str">
            <v>Own</v>
          </cell>
          <cell r="P181" t="str">
            <v>Skilled</v>
          </cell>
          <cell r="S181" t="str">
            <v>Yes</v>
          </cell>
        </row>
        <row r="182">
          <cell r="C182" t="str">
            <v>Delayed Previously</v>
          </cell>
          <cell r="D182" t="str">
            <v>Business</v>
          </cell>
          <cell r="E182">
            <v>1052920</v>
          </cell>
          <cell r="F182" t="str">
            <v>Less than 10000</v>
          </cell>
          <cell r="G182" t="str">
            <v>Below 1Years</v>
          </cell>
          <cell r="I182" t="str">
            <v>Male</v>
          </cell>
          <cell r="N182" t="str">
            <v>Own</v>
          </cell>
          <cell r="P182" t="str">
            <v>Skilled</v>
          </cell>
          <cell r="S182" t="str">
            <v>Yes</v>
          </cell>
        </row>
        <row r="183">
          <cell r="C183" t="str">
            <v>Delayed Previously</v>
          </cell>
          <cell r="D183" t="str">
            <v>Business</v>
          </cell>
          <cell r="E183">
            <v>490050</v>
          </cell>
          <cell r="F183" t="str">
            <v>Less than 10000</v>
          </cell>
          <cell r="G183" t="str">
            <v>1-4 Years</v>
          </cell>
          <cell r="I183" t="str">
            <v>Male</v>
          </cell>
          <cell r="N183" t="str">
            <v>Own</v>
          </cell>
          <cell r="P183" t="str">
            <v>High Qualif/Self Emp/Mgmt</v>
          </cell>
          <cell r="S183" t="str">
            <v>Yes</v>
          </cell>
        </row>
        <row r="184">
          <cell r="C184" t="str">
            <v>All Paid</v>
          </cell>
          <cell r="D184" t="str">
            <v>New Car</v>
          </cell>
          <cell r="E184">
            <v>181170</v>
          </cell>
          <cell r="F184" t="str">
            <v>No Savings</v>
          </cell>
          <cell r="G184" t="str">
            <v>1-4 Years</v>
          </cell>
          <cell r="I184" t="str">
            <v>Male</v>
          </cell>
          <cell r="N184" t="str">
            <v>Own</v>
          </cell>
          <cell r="P184" t="str">
            <v>Unskilled Resident</v>
          </cell>
          <cell r="S184" t="str">
            <v>Yes</v>
          </cell>
        </row>
        <row r="185">
          <cell r="C185" t="str">
            <v>Critical/Other Existing Credit</v>
          </cell>
          <cell r="D185" t="str">
            <v>Furniture/Equipment</v>
          </cell>
          <cell r="E185">
            <v>415470</v>
          </cell>
          <cell r="F185" t="str">
            <v>1,00000 or Above</v>
          </cell>
          <cell r="G185" t="str">
            <v>1-4 Years</v>
          </cell>
          <cell r="I185" t="str">
            <v>Male</v>
          </cell>
          <cell r="N185" t="str">
            <v>Own</v>
          </cell>
          <cell r="P185" t="str">
            <v>Skilled</v>
          </cell>
          <cell r="S185" t="str">
            <v>Yes</v>
          </cell>
        </row>
        <row r="186">
          <cell r="C186" t="str">
            <v>Critical/Other Existing Credit</v>
          </cell>
          <cell r="D186" t="str">
            <v>New Car</v>
          </cell>
          <cell r="E186">
            <v>97240</v>
          </cell>
          <cell r="F186" t="str">
            <v>Less than 10000</v>
          </cell>
          <cell r="G186" t="str">
            <v>7 Years</v>
          </cell>
          <cell r="I186" t="str">
            <v>Male</v>
          </cell>
          <cell r="N186" t="str">
            <v>Own</v>
          </cell>
          <cell r="P186" t="str">
            <v>Skilled</v>
          </cell>
          <cell r="S186" t="str">
            <v>Yes</v>
          </cell>
        </row>
        <row r="187">
          <cell r="C187" t="str">
            <v>Critical/Other Existing Credit</v>
          </cell>
          <cell r="D187" t="str">
            <v>Radio/Tv</v>
          </cell>
          <cell r="E187">
            <v>149600</v>
          </cell>
          <cell r="F187" t="str">
            <v>Less than 10000</v>
          </cell>
          <cell r="G187" t="str">
            <v>1-4 Years</v>
          </cell>
          <cell r="I187" t="str">
            <v>Male</v>
          </cell>
          <cell r="N187" t="str">
            <v>Own</v>
          </cell>
          <cell r="P187" t="str">
            <v>Skilled</v>
          </cell>
          <cell r="S187" t="str">
            <v>Yes</v>
          </cell>
        </row>
        <row r="188">
          <cell r="C188" t="str">
            <v>All Paid</v>
          </cell>
          <cell r="D188" t="str">
            <v>Used Car</v>
          </cell>
          <cell r="E188">
            <v>564190</v>
          </cell>
          <cell r="F188" t="str">
            <v>Less than 10000</v>
          </cell>
          <cell r="G188" t="str">
            <v>7 Years</v>
          </cell>
          <cell r="I188" t="str">
            <v>Female</v>
          </cell>
          <cell r="N188" t="str">
            <v>For Free</v>
          </cell>
          <cell r="P188" t="str">
            <v>High Qualif/Self Emp/Mgmt</v>
          </cell>
          <cell r="S188" t="str">
            <v>Yes</v>
          </cell>
        </row>
        <row r="189">
          <cell r="C189" t="str">
            <v>Critical/Other Existing Credit</v>
          </cell>
          <cell r="D189" t="str">
            <v>New Car</v>
          </cell>
          <cell r="E189">
            <v>129250</v>
          </cell>
          <cell r="F189" t="str">
            <v>Less than 10000</v>
          </cell>
          <cell r="G189" t="str">
            <v>Unemployed</v>
          </cell>
          <cell r="I189" t="str">
            <v>Male</v>
          </cell>
          <cell r="N189" t="str">
            <v>For Free</v>
          </cell>
          <cell r="P189" t="str">
            <v>Unemp/Unskilled Non Res</v>
          </cell>
          <cell r="S189" t="str">
            <v>Yes</v>
          </cell>
        </row>
        <row r="190">
          <cell r="C190" t="str">
            <v>Existing Paid</v>
          </cell>
          <cell r="D190" t="str">
            <v>Radio/Tv</v>
          </cell>
          <cell r="E190">
            <v>74140</v>
          </cell>
          <cell r="F190" t="str">
            <v>10000 - 49999</v>
          </cell>
          <cell r="G190" t="str">
            <v>4-6 Years</v>
          </cell>
          <cell r="I190" t="str">
            <v>Male</v>
          </cell>
          <cell r="N190" t="str">
            <v>Own</v>
          </cell>
          <cell r="P190" t="str">
            <v>Skilled</v>
          </cell>
          <cell r="S190" t="str">
            <v>Yes</v>
          </cell>
        </row>
        <row r="191">
          <cell r="C191" t="str">
            <v>No Credits/All Paid</v>
          </cell>
          <cell r="D191" t="str">
            <v>Furniture/Equipment</v>
          </cell>
          <cell r="E191">
            <v>356840</v>
          </cell>
          <cell r="F191" t="str">
            <v>Less than 10000</v>
          </cell>
          <cell r="G191" t="str">
            <v>1-4 Years</v>
          </cell>
          <cell r="I191" t="str">
            <v>Female</v>
          </cell>
          <cell r="N191" t="str">
            <v>Own</v>
          </cell>
          <cell r="P191" t="str">
            <v>Skilled</v>
          </cell>
          <cell r="S191" t="str">
            <v>Yes</v>
          </cell>
        </row>
        <row r="192">
          <cell r="C192" t="str">
            <v>Existing Paid</v>
          </cell>
          <cell r="D192" t="str">
            <v>Business</v>
          </cell>
          <cell r="E192">
            <v>505010</v>
          </cell>
          <cell r="F192" t="str">
            <v>1,00000 or Above</v>
          </cell>
          <cell r="G192" t="str">
            <v>1-4 Years</v>
          </cell>
          <cell r="I192" t="str">
            <v>Male</v>
          </cell>
          <cell r="N192" t="str">
            <v>Own</v>
          </cell>
          <cell r="P192" t="str">
            <v>High Qualif/Self Emp/Mgmt</v>
          </cell>
          <cell r="S192" t="str">
            <v>Yes</v>
          </cell>
        </row>
        <row r="193">
          <cell r="C193" t="str">
            <v>No Credits/All Paid</v>
          </cell>
          <cell r="D193" t="str">
            <v>Business</v>
          </cell>
          <cell r="E193">
            <v>422840</v>
          </cell>
          <cell r="F193" t="str">
            <v>10000 - 49999</v>
          </cell>
          <cell r="G193" t="str">
            <v>4-6 Years</v>
          </cell>
          <cell r="I193" t="str">
            <v>Male</v>
          </cell>
          <cell r="N193" t="str">
            <v>For Free</v>
          </cell>
          <cell r="P193" t="str">
            <v>Unskilled Resident</v>
          </cell>
          <cell r="S193" t="str">
            <v>Yes</v>
          </cell>
        </row>
        <row r="194">
          <cell r="C194" t="str">
            <v>Existing Paid</v>
          </cell>
          <cell r="D194" t="str">
            <v>Business</v>
          </cell>
          <cell r="E194">
            <v>430650</v>
          </cell>
          <cell r="F194" t="str">
            <v>Less than 10000</v>
          </cell>
          <cell r="G194" t="str">
            <v>1-4 Years</v>
          </cell>
          <cell r="I194" t="str">
            <v>Male</v>
          </cell>
          <cell r="N194" t="str">
            <v>Own</v>
          </cell>
          <cell r="P194" t="str">
            <v>Skilled</v>
          </cell>
          <cell r="S194" t="str">
            <v>Yes</v>
          </cell>
        </row>
        <row r="195">
          <cell r="C195" t="str">
            <v>Existing Paid</v>
          </cell>
          <cell r="D195" t="str">
            <v>Radio/Tv</v>
          </cell>
          <cell r="E195">
            <v>231880</v>
          </cell>
          <cell r="F195" t="str">
            <v>Less than 10000</v>
          </cell>
          <cell r="G195" t="str">
            <v>4-6 Years</v>
          </cell>
          <cell r="I195" t="str">
            <v>Male</v>
          </cell>
          <cell r="N195" t="str">
            <v>Rent</v>
          </cell>
          <cell r="P195" t="str">
            <v>Skilled</v>
          </cell>
          <cell r="S195" t="str">
            <v>Yes</v>
          </cell>
        </row>
        <row r="196">
          <cell r="C196" t="str">
            <v>Existing Paid</v>
          </cell>
          <cell r="D196" t="str">
            <v>Radio/Tv</v>
          </cell>
          <cell r="E196">
            <v>333410</v>
          </cell>
          <cell r="F196" t="str">
            <v>10000 - 49999</v>
          </cell>
          <cell r="G196" t="str">
            <v>1-4 Years</v>
          </cell>
          <cell r="I196" t="str">
            <v>Male</v>
          </cell>
          <cell r="N196" t="str">
            <v>Rent</v>
          </cell>
          <cell r="P196" t="str">
            <v>Skilled</v>
          </cell>
          <cell r="S196" t="str">
            <v>Yes</v>
          </cell>
        </row>
        <row r="197">
          <cell r="C197" t="str">
            <v>Critical/Other Existing Credit</v>
          </cell>
          <cell r="D197" t="str">
            <v>Education</v>
          </cell>
          <cell r="E197">
            <v>165110</v>
          </cell>
          <cell r="F197" t="str">
            <v>Less than 10000</v>
          </cell>
          <cell r="G197" t="str">
            <v>7 Years</v>
          </cell>
          <cell r="I197" t="str">
            <v>Female</v>
          </cell>
          <cell r="N197" t="str">
            <v>Own</v>
          </cell>
          <cell r="P197" t="str">
            <v>High Qualif/Self Emp/Mgmt</v>
          </cell>
          <cell r="S197" t="str">
            <v>Yes</v>
          </cell>
        </row>
        <row r="198">
          <cell r="C198" t="str">
            <v>Critical/Other Existing Credit</v>
          </cell>
          <cell r="D198" t="str">
            <v>Radio/Tv</v>
          </cell>
          <cell r="E198">
            <v>152020</v>
          </cell>
          <cell r="F198" t="str">
            <v>Less than 10000</v>
          </cell>
          <cell r="G198" t="str">
            <v>1-4 Years</v>
          </cell>
          <cell r="I198" t="str">
            <v>Female</v>
          </cell>
          <cell r="N198" t="str">
            <v>Own</v>
          </cell>
          <cell r="P198" t="str">
            <v>Skilled</v>
          </cell>
          <cell r="S198" t="str">
            <v>Yes</v>
          </cell>
        </row>
        <row r="199">
          <cell r="C199" t="str">
            <v>Existing Paid</v>
          </cell>
          <cell r="D199" t="str">
            <v>Furniture/Equipment</v>
          </cell>
          <cell r="E199">
            <v>104610</v>
          </cell>
          <cell r="F199" t="str">
            <v>10000 - 49999</v>
          </cell>
          <cell r="G199" t="str">
            <v>Below 1Years</v>
          </cell>
          <cell r="I199" t="str">
            <v>Female</v>
          </cell>
          <cell r="N199" t="str">
            <v>Rent</v>
          </cell>
          <cell r="P199" t="str">
            <v>Skilled</v>
          </cell>
          <cell r="S199" t="str">
            <v>Yes</v>
          </cell>
        </row>
        <row r="200">
          <cell r="C200" t="str">
            <v>Existing Paid</v>
          </cell>
          <cell r="D200" t="str">
            <v>Used Car</v>
          </cell>
          <cell r="E200">
            <v>303600</v>
          </cell>
          <cell r="F200" t="str">
            <v>No Savings</v>
          </cell>
          <cell r="G200" t="str">
            <v>7 Years</v>
          </cell>
          <cell r="I200" t="str">
            <v>Male</v>
          </cell>
          <cell r="N200" t="str">
            <v>For Free</v>
          </cell>
          <cell r="P200" t="str">
            <v>Skilled</v>
          </cell>
          <cell r="S200" t="str">
            <v>Yes</v>
          </cell>
        </row>
        <row r="201">
          <cell r="C201" t="str">
            <v>Delayed Previously</v>
          </cell>
          <cell r="D201" t="str">
            <v>Furniture/Equipment</v>
          </cell>
          <cell r="E201">
            <v>472670</v>
          </cell>
          <cell r="F201" t="str">
            <v>Less than 10000</v>
          </cell>
          <cell r="G201" t="str">
            <v>7 Years</v>
          </cell>
          <cell r="I201" t="str">
            <v>Male</v>
          </cell>
          <cell r="N201" t="str">
            <v>Own</v>
          </cell>
          <cell r="P201" t="str">
            <v>High Qualif/Self Emp/Mgmt</v>
          </cell>
          <cell r="S201" t="str">
            <v>Yes</v>
          </cell>
        </row>
        <row r="202">
          <cell r="C202" t="str">
            <v>Critical/Other Existing Credit</v>
          </cell>
          <cell r="D202" t="str">
            <v>Education</v>
          </cell>
          <cell r="E202">
            <v>102960</v>
          </cell>
          <cell r="F202" t="str">
            <v>50000 - 99999</v>
          </cell>
          <cell r="G202" t="str">
            <v>7 Years</v>
          </cell>
          <cell r="I202" t="str">
            <v>Male</v>
          </cell>
          <cell r="N202" t="str">
            <v>Own</v>
          </cell>
          <cell r="P202" t="str">
            <v>Skilled</v>
          </cell>
          <cell r="S202" t="str">
            <v>Yes</v>
          </cell>
        </row>
        <row r="203">
          <cell r="C203" t="str">
            <v>Existing Paid</v>
          </cell>
          <cell r="D203" t="str">
            <v>New Car</v>
          </cell>
          <cell r="E203">
            <v>128480</v>
          </cell>
          <cell r="F203" t="str">
            <v>Less than 10000</v>
          </cell>
          <cell r="G203" t="str">
            <v>1-4 Years</v>
          </cell>
          <cell r="I203" t="str">
            <v>Male</v>
          </cell>
          <cell r="N203" t="str">
            <v>Own</v>
          </cell>
          <cell r="P203" t="str">
            <v>Unskilled Resident</v>
          </cell>
          <cell r="S203" t="str">
            <v>Yes</v>
          </cell>
        </row>
        <row r="204">
          <cell r="C204" t="str">
            <v>Delayed Previously</v>
          </cell>
          <cell r="D204" t="str">
            <v>Business</v>
          </cell>
          <cell r="E204">
            <v>562870</v>
          </cell>
          <cell r="F204" t="str">
            <v>Less than 10000</v>
          </cell>
          <cell r="G204" t="str">
            <v>4-6 Years</v>
          </cell>
          <cell r="I204" t="str">
            <v>Male</v>
          </cell>
          <cell r="N204" t="str">
            <v>Own</v>
          </cell>
          <cell r="P204" t="str">
            <v>Skilled</v>
          </cell>
          <cell r="S204" t="str">
            <v>Yes</v>
          </cell>
        </row>
        <row r="205">
          <cell r="C205" t="str">
            <v>Existing Paid</v>
          </cell>
          <cell r="D205" t="str">
            <v>Retraining</v>
          </cell>
          <cell r="E205">
            <v>99220</v>
          </cell>
          <cell r="F205" t="str">
            <v>Less than 10000</v>
          </cell>
          <cell r="G205" t="str">
            <v>4-6 Years</v>
          </cell>
          <cell r="I205" t="str">
            <v>Male</v>
          </cell>
          <cell r="N205" t="str">
            <v>Rent</v>
          </cell>
          <cell r="P205" t="str">
            <v>Skilled</v>
          </cell>
          <cell r="S205" t="str">
            <v>Yes</v>
          </cell>
        </row>
        <row r="206">
          <cell r="C206" t="str">
            <v>Critical/Other Existing Credit</v>
          </cell>
          <cell r="D206" t="str">
            <v>New Car</v>
          </cell>
          <cell r="E206">
            <v>164450</v>
          </cell>
          <cell r="F206" t="str">
            <v>Less than 10000</v>
          </cell>
          <cell r="G206" t="str">
            <v>7 Years</v>
          </cell>
          <cell r="I206" t="str">
            <v>Male</v>
          </cell>
          <cell r="N206" t="str">
            <v>Own</v>
          </cell>
          <cell r="P206" t="str">
            <v>Unskilled Resident</v>
          </cell>
          <cell r="S206" t="str">
            <v>Yes</v>
          </cell>
        </row>
        <row r="207">
          <cell r="C207" t="str">
            <v>Critical/Other Existing Credit</v>
          </cell>
          <cell r="D207" t="str">
            <v>Used Car</v>
          </cell>
          <cell r="E207">
            <v>1168530</v>
          </cell>
          <cell r="F207" t="str">
            <v>Less than 10000</v>
          </cell>
          <cell r="G207" t="str">
            <v>7 Years</v>
          </cell>
          <cell r="I207" t="str">
            <v>Male</v>
          </cell>
          <cell r="N207" t="str">
            <v>For Free</v>
          </cell>
          <cell r="P207" t="str">
            <v>High Qualif/Self Emp/Mgmt</v>
          </cell>
          <cell r="S207" t="str">
            <v>Yes</v>
          </cell>
        </row>
        <row r="208">
          <cell r="C208" t="str">
            <v>Critical/Other Existing Credit</v>
          </cell>
          <cell r="D208" t="str">
            <v>Furniture/Equipment</v>
          </cell>
          <cell r="E208">
            <v>212850</v>
          </cell>
          <cell r="F208" t="str">
            <v>Less than 10000</v>
          </cell>
          <cell r="G208" t="str">
            <v>7 Years</v>
          </cell>
          <cell r="I208" t="str">
            <v>Male</v>
          </cell>
          <cell r="N208" t="str">
            <v>Own</v>
          </cell>
          <cell r="P208" t="str">
            <v>Skilled</v>
          </cell>
          <cell r="S208" t="str">
            <v>Yes</v>
          </cell>
        </row>
        <row r="209">
          <cell r="C209" t="str">
            <v>Critical/Other Existing Credit</v>
          </cell>
          <cell r="D209" t="str">
            <v>Domestic Appliance</v>
          </cell>
          <cell r="E209">
            <v>156640</v>
          </cell>
          <cell r="F209" t="str">
            <v>Less than 10000</v>
          </cell>
          <cell r="G209" t="str">
            <v>4-6 Years</v>
          </cell>
          <cell r="I209" t="str">
            <v>Male</v>
          </cell>
          <cell r="N209" t="str">
            <v>Own</v>
          </cell>
          <cell r="P209" t="str">
            <v>Skilled</v>
          </cell>
          <cell r="S209" t="str">
            <v>Yes</v>
          </cell>
        </row>
        <row r="210">
          <cell r="C210" t="str">
            <v>Existing Paid</v>
          </cell>
          <cell r="D210" t="str">
            <v>Business</v>
          </cell>
          <cell r="E210">
            <v>722480</v>
          </cell>
          <cell r="F210" t="str">
            <v>Less than 10000</v>
          </cell>
          <cell r="G210" t="str">
            <v>1-4 Years</v>
          </cell>
          <cell r="I210" t="str">
            <v>Male</v>
          </cell>
          <cell r="N210" t="str">
            <v>Own</v>
          </cell>
          <cell r="P210" t="str">
            <v>Unskilled Resident</v>
          </cell>
          <cell r="S210" t="str">
            <v>Yes</v>
          </cell>
        </row>
        <row r="211">
          <cell r="C211" t="str">
            <v>Existing Paid</v>
          </cell>
          <cell r="D211" t="str">
            <v>Used Car</v>
          </cell>
          <cell r="E211">
            <v>155430</v>
          </cell>
          <cell r="F211" t="str">
            <v>1,00000 or Above</v>
          </cell>
          <cell r="G211" t="str">
            <v>4-6 Years</v>
          </cell>
          <cell r="I211" t="str">
            <v>Male</v>
          </cell>
          <cell r="N211" t="str">
            <v>Own</v>
          </cell>
          <cell r="P211" t="str">
            <v>Skilled</v>
          </cell>
          <cell r="S211" t="str">
            <v>No</v>
          </cell>
        </row>
        <row r="212">
          <cell r="C212" t="str">
            <v>Critical/Other Existing Credit</v>
          </cell>
          <cell r="D212" t="str">
            <v>Radio/Tv</v>
          </cell>
          <cell r="E212">
            <v>338140</v>
          </cell>
          <cell r="F212" t="str">
            <v>No Savings</v>
          </cell>
          <cell r="G212" t="str">
            <v>1-4 Years</v>
          </cell>
          <cell r="I212" t="str">
            <v>Male</v>
          </cell>
          <cell r="N212" t="str">
            <v>Own</v>
          </cell>
          <cell r="P212" t="str">
            <v>Skilled</v>
          </cell>
          <cell r="S212" t="str">
            <v>Yes</v>
          </cell>
        </row>
        <row r="213">
          <cell r="C213" t="str">
            <v>Existing Paid</v>
          </cell>
          <cell r="D213" t="str">
            <v>Radio/Tv</v>
          </cell>
          <cell r="E213">
            <v>421850</v>
          </cell>
          <cell r="F213" t="str">
            <v>No Savings</v>
          </cell>
          <cell r="G213" t="str">
            <v>7 Years</v>
          </cell>
          <cell r="I213" t="str">
            <v>Female</v>
          </cell>
          <cell r="N213" t="str">
            <v>Own</v>
          </cell>
          <cell r="P213" t="str">
            <v>Unskilled Resident</v>
          </cell>
          <cell r="S213" t="str">
            <v>Yes</v>
          </cell>
        </row>
        <row r="214">
          <cell r="C214" t="str">
            <v>No Credits/All Paid</v>
          </cell>
          <cell r="D214" t="str">
            <v>Business</v>
          </cell>
          <cell r="E214">
            <v>582230</v>
          </cell>
          <cell r="F214" t="str">
            <v>Less than 10000</v>
          </cell>
          <cell r="G214" t="str">
            <v>Unemployed</v>
          </cell>
          <cell r="I214" t="str">
            <v>Male</v>
          </cell>
          <cell r="N214" t="str">
            <v>Own</v>
          </cell>
          <cell r="P214" t="str">
            <v>Skilled</v>
          </cell>
          <cell r="S214" t="str">
            <v>Yes</v>
          </cell>
        </row>
        <row r="215">
          <cell r="C215" t="str">
            <v>Delayed Previously</v>
          </cell>
          <cell r="D215" t="str">
            <v>Business</v>
          </cell>
          <cell r="E215">
            <v>209880</v>
          </cell>
          <cell r="F215" t="str">
            <v>Less than 10000</v>
          </cell>
          <cell r="G215" t="str">
            <v>7 Years</v>
          </cell>
          <cell r="I215" t="str">
            <v>Male</v>
          </cell>
          <cell r="N215" t="str">
            <v>Own</v>
          </cell>
          <cell r="P215" t="str">
            <v>High Qualif/Self Emp/Mgmt</v>
          </cell>
          <cell r="S215" t="str">
            <v>Yes</v>
          </cell>
        </row>
        <row r="216">
          <cell r="C216" t="str">
            <v>Critical/Other Existing Credit</v>
          </cell>
          <cell r="D216" t="str">
            <v>Radio/Tv</v>
          </cell>
          <cell r="E216">
            <v>367620</v>
          </cell>
          <cell r="F216" t="str">
            <v>No Savings</v>
          </cell>
          <cell r="G216" t="str">
            <v>7 Years</v>
          </cell>
          <cell r="I216" t="str">
            <v>Male</v>
          </cell>
          <cell r="N216" t="str">
            <v>Own</v>
          </cell>
          <cell r="P216" t="str">
            <v>Skilled</v>
          </cell>
          <cell r="S216" t="str">
            <v>Yes</v>
          </cell>
        </row>
        <row r="217">
          <cell r="C217" t="str">
            <v>Critical/Other Existing Credit</v>
          </cell>
          <cell r="D217" t="str">
            <v>Retraining</v>
          </cell>
          <cell r="E217">
            <v>102520</v>
          </cell>
          <cell r="F217" t="str">
            <v>No Savings</v>
          </cell>
          <cell r="G217" t="str">
            <v>4-6 Years</v>
          </cell>
          <cell r="I217" t="str">
            <v>Female</v>
          </cell>
          <cell r="N217" t="str">
            <v>Own</v>
          </cell>
          <cell r="P217" t="str">
            <v>Unskilled Resident</v>
          </cell>
          <cell r="S217" t="str">
            <v>Yes</v>
          </cell>
        </row>
        <row r="218">
          <cell r="C218" t="str">
            <v>No Credits/All Paid</v>
          </cell>
          <cell r="D218" t="str">
            <v>Business</v>
          </cell>
          <cell r="E218">
            <v>341440</v>
          </cell>
          <cell r="F218" t="str">
            <v>Less than 10000</v>
          </cell>
          <cell r="G218" t="str">
            <v>4-6 Years</v>
          </cell>
          <cell r="I218" t="str">
            <v>Male</v>
          </cell>
          <cell r="N218" t="str">
            <v>Own</v>
          </cell>
          <cell r="P218" t="str">
            <v>Skilled</v>
          </cell>
          <cell r="S218" t="str">
            <v>Yes</v>
          </cell>
        </row>
        <row r="219">
          <cell r="C219" t="str">
            <v>Existing Paid</v>
          </cell>
          <cell r="D219" t="str">
            <v>Radio/Tv</v>
          </cell>
          <cell r="E219">
            <v>430430</v>
          </cell>
          <cell r="F219" t="str">
            <v>Less than 10000</v>
          </cell>
          <cell r="G219" t="str">
            <v>1-4 Years</v>
          </cell>
          <cell r="I219" t="str">
            <v>Male</v>
          </cell>
          <cell r="N219" t="str">
            <v>Own</v>
          </cell>
          <cell r="P219" t="str">
            <v>Skilled</v>
          </cell>
          <cell r="S219" t="str">
            <v>Yes</v>
          </cell>
        </row>
        <row r="220">
          <cell r="C220" t="str">
            <v>Existing Paid</v>
          </cell>
          <cell r="D220" t="str">
            <v>Furniture/Equipment</v>
          </cell>
          <cell r="E220">
            <v>332310</v>
          </cell>
          <cell r="F220" t="str">
            <v>Less than 10000</v>
          </cell>
          <cell r="G220" t="str">
            <v>1-4 Years</v>
          </cell>
          <cell r="I220" t="str">
            <v>Male</v>
          </cell>
          <cell r="N220" t="str">
            <v>Rent</v>
          </cell>
          <cell r="P220" t="str">
            <v>Unskilled Resident</v>
          </cell>
          <cell r="S220" t="str">
            <v>Yes</v>
          </cell>
        </row>
        <row r="221">
          <cell r="C221" t="str">
            <v>Existing Paid</v>
          </cell>
          <cell r="D221" t="str">
            <v>New Car</v>
          </cell>
          <cell r="E221">
            <v>150040</v>
          </cell>
          <cell r="F221" t="str">
            <v>Less than 10000</v>
          </cell>
          <cell r="G221" t="str">
            <v>1-4 Years</v>
          </cell>
          <cell r="I221" t="str">
            <v>Female</v>
          </cell>
          <cell r="N221" t="str">
            <v>Own</v>
          </cell>
          <cell r="P221" t="str">
            <v>Skilled</v>
          </cell>
          <cell r="S221" t="str">
            <v>Yes</v>
          </cell>
        </row>
        <row r="222">
          <cell r="C222" t="str">
            <v>Existing Paid</v>
          </cell>
          <cell r="D222" t="str">
            <v>Radio/Tv</v>
          </cell>
          <cell r="E222">
            <v>68750</v>
          </cell>
          <cell r="F222" t="str">
            <v>Less than 10000</v>
          </cell>
          <cell r="G222" t="str">
            <v>Below 1Years</v>
          </cell>
          <cell r="I222" t="str">
            <v>Male</v>
          </cell>
          <cell r="N222" t="str">
            <v>Own</v>
          </cell>
          <cell r="P222" t="str">
            <v>Unskilled Resident</v>
          </cell>
          <cell r="S222" t="str">
            <v>Yes</v>
          </cell>
        </row>
        <row r="223">
          <cell r="C223" t="str">
            <v>Existing Paid</v>
          </cell>
          <cell r="D223" t="str">
            <v>Education</v>
          </cell>
          <cell r="E223">
            <v>132000</v>
          </cell>
          <cell r="F223" t="str">
            <v>No Savings</v>
          </cell>
          <cell r="G223" t="str">
            <v>1-4 Years</v>
          </cell>
          <cell r="I223" t="str">
            <v>Female</v>
          </cell>
          <cell r="N223" t="str">
            <v>Rent</v>
          </cell>
          <cell r="P223" t="str">
            <v>Skilled</v>
          </cell>
          <cell r="S223" t="str">
            <v>Yes</v>
          </cell>
        </row>
        <row r="224">
          <cell r="C224" t="str">
            <v>Existing Paid</v>
          </cell>
          <cell r="D224" t="str">
            <v>Radio/Tv</v>
          </cell>
          <cell r="E224">
            <v>77770</v>
          </cell>
          <cell r="F224" t="str">
            <v>Less than 10000</v>
          </cell>
          <cell r="G224" t="str">
            <v>1-4 Years</v>
          </cell>
          <cell r="I224" t="str">
            <v>Male</v>
          </cell>
          <cell r="N224" t="str">
            <v>Own</v>
          </cell>
          <cell r="P224" t="str">
            <v>Skilled</v>
          </cell>
          <cell r="S224" t="str">
            <v>Yes</v>
          </cell>
        </row>
        <row r="225">
          <cell r="C225" t="str">
            <v>Delayed Previously</v>
          </cell>
          <cell r="D225" t="str">
            <v>Business</v>
          </cell>
          <cell r="E225">
            <v>327580</v>
          </cell>
          <cell r="F225" t="str">
            <v>No Savings</v>
          </cell>
          <cell r="G225" t="str">
            <v>1-4 Years</v>
          </cell>
          <cell r="I225" t="str">
            <v>Male</v>
          </cell>
          <cell r="N225" t="str">
            <v>Own</v>
          </cell>
          <cell r="P225" t="str">
            <v>Skilled</v>
          </cell>
          <cell r="S225" t="str">
            <v>Yes</v>
          </cell>
        </row>
        <row r="226">
          <cell r="C226" t="str">
            <v>Existing Paid</v>
          </cell>
          <cell r="D226" t="str">
            <v>Used Car</v>
          </cell>
          <cell r="E226">
            <v>512270</v>
          </cell>
          <cell r="F226" t="str">
            <v>Less than 10000</v>
          </cell>
          <cell r="G226" t="str">
            <v>1-4 Years</v>
          </cell>
          <cell r="I226" t="str">
            <v>Male</v>
          </cell>
          <cell r="N226" t="str">
            <v>Own</v>
          </cell>
          <cell r="P226" t="str">
            <v>Skilled</v>
          </cell>
          <cell r="S226" t="str">
            <v>Yes</v>
          </cell>
        </row>
        <row r="227">
          <cell r="C227" t="str">
            <v>No Credits/All Paid</v>
          </cell>
          <cell r="D227" t="str">
            <v>Repairs</v>
          </cell>
          <cell r="E227">
            <v>287430</v>
          </cell>
          <cell r="F227" t="str">
            <v>Less than 10000</v>
          </cell>
          <cell r="G227" t="str">
            <v>1-4 Years</v>
          </cell>
          <cell r="I227" t="str">
            <v>Male</v>
          </cell>
          <cell r="N227" t="str">
            <v>Own</v>
          </cell>
          <cell r="P227" t="str">
            <v>Skilled</v>
          </cell>
          <cell r="S227" t="str">
            <v>Yes</v>
          </cell>
        </row>
        <row r="228">
          <cell r="C228" t="str">
            <v>Existing Paid</v>
          </cell>
          <cell r="D228" t="str">
            <v>Radio/Tv</v>
          </cell>
          <cell r="E228">
            <v>1205710</v>
          </cell>
          <cell r="F228" t="str">
            <v>1,00000 or Above</v>
          </cell>
          <cell r="G228" t="str">
            <v>4-6 Years</v>
          </cell>
          <cell r="I228" t="str">
            <v>Male</v>
          </cell>
          <cell r="N228" t="str">
            <v>Own</v>
          </cell>
          <cell r="P228" t="str">
            <v>Skilled</v>
          </cell>
          <cell r="S228" t="str">
            <v>Yes</v>
          </cell>
        </row>
        <row r="229">
          <cell r="C229" t="str">
            <v>Existing Paid</v>
          </cell>
          <cell r="D229" t="str">
            <v>Furniture/Equipment</v>
          </cell>
          <cell r="E229">
            <v>865150</v>
          </cell>
          <cell r="F229" t="str">
            <v>Less than 10000</v>
          </cell>
          <cell r="G229" t="str">
            <v>7 Years</v>
          </cell>
          <cell r="I229" t="str">
            <v>Male</v>
          </cell>
          <cell r="N229" t="str">
            <v>For Free</v>
          </cell>
          <cell r="P229" t="str">
            <v>High Qualif/Self Emp/Mgmt</v>
          </cell>
          <cell r="S229" t="str">
            <v>Yes</v>
          </cell>
        </row>
        <row r="230">
          <cell r="C230" t="str">
            <v>Existing Paid</v>
          </cell>
          <cell r="D230" t="str">
            <v>Radio/Tv</v>
          </cell>
          <cell r="E230">
            <v>162580</v>
          </cell>
          <cell r="F230" t="str">
            <v>Less than 10000</v>
          </cell>
          <cell r="G230" t="str">
            <v>4-6 Years</v>
          </cell>
          <cell r="I230" t="str">
            <v>Male</v>
          </cell>
          <cell r="N230" t="str">
            <v>Own</v>
          </cell>
          <cell r="P230" t="str">
            <v>Skilled</v>
          </cell>
          <cell r="S230" t="str">
            <v>Yes</v>
          </cell>
        </row>
        <row r="231">
          <cell r="C231" t="str">
            <v>Existing Paid</v>
          </cell>
          <cell r="D231" t="str">
            <v>Furniture/Equipment</v>
          </cell>
          <cell r="E231">
            <v>346390</v>
          </cell>
          <cell r="F231" t="str">
            <v>Less than 10000</v>
          </cell>
          <cell r="G231" t="str">
            <v>Below 1Years</v>
          </cell>
          <cell r="I231" t="str">
            <v>Male</v>
          </cell>
          <cell r="N231" t="str">
            <v>For Free</v>
          </cell>
          <cell r="P231" t="str">
            <v>Skilled</v>
          </cell>
          <cell r="S231" t="str">
            <v>Yes</v>
          </cell>
        </row>
        <row r="232">
          <cell r="C232" t="str">
            <v>Existing Paid</v>
          </cell>
          <cell r="D232" t="str">
            <v>Radio/Tv</v>
          </cell>
          <cell r="E232">
            <v>463100</v>
          </cell>
          <cell r="F232" t="str">
            <v>Less than 10000</v>
          </cell>
          <cell r="G232" t="str">
            <v>1-4 Years</v>
          </cell>
          <cell r="I232" t="str">
            <v>Male</v>
          </cell>
          <cell r="N232" t="str">
            <v>Own</v>
          </cell>
          <cell r="P232" t="str">
            <v>Skilled</v>
          </cell>
          <cell r="S232" t="str">
            <v>Yes</v>
          </cell>
        </row>
        <row r="233">
          <cell r="C233" t="str">
            <v>Existing Paid</v>
          </cell>
          <cell r="D233" t="str">
            <v>New Car</v>
          </cell>
          <cell r="E233">
            <v>275770</v>
          </cell>
          <cell r="F233" t="str">
            <v>50000 - 99999</v>
          </cell>
          <cell r="G233" t="str">
            <v>7 Years</v>
          </cell>
          <cell r="I233" t="str">
            <v>Male</v>
          </cell>
          <cell r="N233" t="str">
            <v>For Free</v>
          </cell>
          <cell r="P233" t="str">
            <v>Unskilled Resident</v>
          </cell>
          <cell r="S233" t="str">
            <v>Yes</v>
          </cell>
        </row>
        <row r="234">
          <cell r="C234" t="str">
            <v>Existing Paid</v>
          </cell>
          <cell r="D234" t="str">
            <v>Radio/Tv</v>
          </cell>
          <cell r="E234">
            <v>235510</v>
          </cell>
          <cell r="F234" t="str">
            <v>10000 - 49999</v>
          </cell>
          <cell r="G234" t="str">
            <v>4-6 Years</v>
          </cell>
          <cell r="I234" t="str">
            <v>Male</v>
          </cell>
          <cell r="N234" t="str">
            <v>Own</v>
          </cell>
          <cell r="P234" t="str">
            <v>Skilled</v>
          </cell>
          <cell r="S234" t="str">
            <v>Yes</v>
          </cell>
        </row>
        <row r="235">
          <cell r="C235" t="str">
            <v>Existing Paid</v>
          </cell>
          <cell r="D235" t="str">
            <v>Radio/Tv</v>
          </cell>
          <cell r="E235">
            <v>95260</v>
          </cell>
          <cell r="F235" t="str">
            <v>Less than 10000</v>
          </cell>
          <cell r="G235" t="str">
            <v>1-4 Years</v>
          </cell>
          <cell r="I235" t="str">
            <v>Male</v>
          </cell>
          <cell r="N235" t="str">
            <v>Own</v>
          </cell>
          <cell r="P235" t="str">
            <v>Unskilled Resident</v>
          </cell>
          <cell r="S235" t="str">
            <v>Yes</v>
          </cell>
        </row>
        <row r="236">
          <cell r="C236" t="str">
            <v>Critical/Other Existing Credit</v>
          </cell>
          <cell r="D236" t="str">
            <v>Radio/Tv</v>
          </cell>
          <cell r="E236">
            <v>169840</v>
          </cell>
          <cell r="F236" t="str">
            <v>Less than 10000</v>
          </cell>
          <cell r="G236" t="str">
            <v>4-6 Years</v>
          </cell>
          <cell r="I236" t="str">
            <v>Male</v>
          </cell>
          <cell r="N236" t="str">
            <v>Own</v>
          </cell>
          <cell r="P236" t="str">
            <v>Unskilled Resident</v>
          </cell>
          <cell r="S236" t="str">
            <v>Yes</v>
          </cell>
        </row>
        <row r="237">
          <cell r="C237" t="str">
            <v>Existing Paid</v>
          </cell>
          <cell r="D237" t="str">
            <v>Radio/Tv</v>
          </cell>
          <cell r="E237">
            <v>200530</v>
          </cell>
          <cell r="F237" t="str">
            <v>Less than 10000</v>
          </cell>
          <cell r="G237" t="str">
            <v>Unemployed</v>
          </cell>
          <cell r="I237" t="str">
            <v>Male</v>
          </cell>
          <cell r="N237" t="str">
            <v>Own</v>
          </cell>
          <cell r="P237" t="str">
            <v>High Qualif/Self Emp/Mgmt</v>
          </cell>
          <cell r="S237" t="str">
            <v>Yes</v>
          </cell>
        </row>
        <row r="238">
          <cell r="C238" t="str">
            <v>Existing Paid</v>
          </cell>
          <cell r="D238" t="str">
            <v>New Car</v>
          </cell>
          <cell r="E238">
            <v>1601050</v>
          </cell>
          <cell r="F238" t="str">
            <v>No Savings</v>
          </cell>
          <cell r="G238" t="str">
            <v>Unemployed</v>
          </cell>
          <cell r="I238" t="str">
            <v>Male</v>
          </cell>
          <cell r="N238" t="str">
            <v>Own</v>
          </cell>
          <cell r="P238" t="str">
            <v>Unemp/Unskilled Non Res</v>
          </cell>
          <cell r="S238" t="str">
            <v>Yes</v>
          </cell>
        </row>
        <row r="239">
          <cell r="C239" t="str">
            <v>Existing Paid</v>
          </cell>
          <cell r="D239" t="str">
            <v>Business</v>
          </cell>
          <cell r="E239">
            <v>304370</v>
          </cell>
          <cell r="F239" t="str">
            <v>10000 - 49999</v>
          </cell>
          <cell r="G239" t="str">
            <v>7 Years</v>
          </cell>
          <cell r="I239" t="str">
            <v>Male</v>
          </cell>
          <cell r="N239" t="str">
            <v>Rent</v>
          </cell>
          <cell r="P239" t="str">
            <v>Unskilled Resident</v>
          </cell>
          <cell r="S239" t="str">
            <v>Yes</v>
          </cell>
        </row>
        <row r="240">
          <cell r="C240" t="str">
            <v>Critical/Other Existing Credit</v>
          </cell>
          <cell r="D240" t="str">
            <v>Radio/Tv</v>
          </cell>
          <cell r="E240">
            <v>142010</v>
          </cell>
          <cell r="F240" t="str">
            <v>Less than 10000</v>
          </cell>
          <cell r="G240" t="str">
            <v>1-4 Years</v>
          </cell>
          <cell r="I240" t="str">
            <v>Female</v>
          </cell>
          <cell r="N240" t="str">
            <v>Own</v>
          </cell>
          <cell r="P240" t="str">
            <v>Skilled</v>
          </cell>
          <cell r="S240" t="str">
            <v>Yes</v>
          </cell>
        </row>
        <row r="241">
          <cell r="C241" t="str">
            <v>Existing Paid</v>
          </cell>
          <cell r="D241" t="str">
            <v>Radio/Tv</v>
          </cell>
          <cell r="E241">
            <v>277420</v>
          </cell>
          <cell r="F241" t="str">
            <v>Less than 10000</v>
          </cell>
          <cell r="G241" t="str">
            <v>7 Years</v>
          </cell>
          <cell r="I241" t="str">
            <v>Male</v>
          </cell>
          <cell r="N241" t="str">
            <v>Own</v>
          </cell>
          <cell r="P241" t="str">
            <v>Skilled</v>
          </cell>
          <cell r="S241" t="str">
            <v>Yes</v>
          </cell>
        </row>
        <row r="242">
          <cell r="C242" t="str">
            <v>Existing Paid</v>
          </cell>
          <cell r="D242" t="str">
            <v>New Car</v>
          </cell>
          <cell r="E242">
            <v>100650</v>
          </cell>
          <cell r="F242" t="str">
            <v>No Savings</v>
          </cell>
          <cell r="G242" t="str">
            <v>7 Years</v>
          </cell>
          <cell r="I242" t="str">
            <v>Female</v>
          </cell>
          <cell r="N242" t="str">
            <v>Own</v>
          </cell>
          <cell r="P242" t="str">
            <v>Skilled</v>
          </cell>
          <cell r="S242" t="str">
            <v>Yes</v>
          </cell>
        </row>
        <row r="243">
          <cell r="C243" t="str">
            <v>Existing Paid</v>
          </cell>
          <cell r="D243" t="str">
            <v>Radio/Tv</v>
          </cell>
          <cell r="E243">
            <v>175450</v>
          </cell>
          <cell r="F243" t="str">
            <v>Less than 10000</v>
          </cell>
          <cell r="G243" t="str">
            <v>4-6 Years</v>
          </cell>
          <cell r="I243" t="str">
            <v>Male</v>
          </cell>
          <cell r="N243" t="str">
            <v>Own</v>
          </cell>
          <cell r="P243" t="str">
            <v>Skilled</v>
          </cell>
          <cell r="S243" t="str">
            <v>Yes</v>
          </cell>
        </row>
        <row r="244">
          <cell r="C244" t="str">
            <v>No Credits/All Paid</v>
          </cell>
          <cell r="D244" t="str">
            <v>Used Car</v>
          </cell>
          <cell r="E244">
            <v>506550</v>
          </cell>
          <cell r="F244" t="str">
            <v>Less than 10000</v>
          </cell>
          <cell r="G244" t="str">
            <v>7 Years</v>
          </cell>
          <cell r="I244" t="str">
            <v>Male</v>
          </cell>
          <cell r="N244" t="str">
            <v>For Free</v>
          </cell>
          <cell r="P244" t="str">
            <v>Skilled</v>
          </cell>
          <cell r="S244" t="str">
            <v>Yes</v>
          </cell>
        </row>
        <row r="245">
          <cell r="C245" t="str">
            <v>Critical/Other Existing Credit</v>
          </cell>
          <cell r="D245" t="str">
            <v>Business</v>
          </cell>
          <cell r="E245">
            <v>130350</v>
          </cell>
          <cell r="F245" t="str">
            <v>Less than 10000</v>
          </cell>
          <cell r="G245" t="str">
            <v>1-4 Years</v>
          </cell>
          <cell r="I245" t="str">
            <v>Female</v>
          </cell>
          <cell r="N245" t="str">
            <v>Own</v>
          </cell>
          <cell r="P245" t="str">
            <v>Skilled</v>
          </cell>
          <cell r="S245" t="str">
            <v>Yes</v>
          </cell>
        </row>
        <row r="246">
          <cell r="C246" t="str">
            <v>All Paid</v>
          </cell>
          <cell r="D246" t="str">
            <v>Retraining</v>
          </cell>
          <cell r="E246">
            <v>379170</v>
          </cell>
          <cell r="F246" t="str">
            <v>50000 - 99999</v>
          </cell>
          <cell r="G246" t="str">
            <v>1-4 Years</v>
          </cell>
          <cell r="I246" t="str">
            <v>Female</v>
          </cell>
          <cell r="N246" t="str">
            <v>Own</v>
          </cell>
          <cell r="P246" t="str">
            <v>Unskilled Resident</v>
          </cell>
          <cell r="S246" t="str">
            <v>Yes</v>
          </cell>
        </row>
        <row r="247">
          <cell r="C247" t="str">
            <v>Existing Paid</v>
          </cell>
          <cell r="D247" t="str">
            <v>Business</v>
          </cell>
          <cell r="E247">
            <v>138380</v>
          </cell>
          <cell r="F247" t="str">
            <v>Less than 10000</v>
          </cell>
          <cell r="G247" t="str">
            <v>4-6 Years</v>
          </cell>
          <cell r="I247" t="str">
            <v>Male</v>
          </cell>
          <cell r="N247" t="str">
            <v>Own</v>
          </cell>
          <cell r="P247" t="str">
            <v>Skilled</v>
          </cell>
          <cell r="S247" t="str">
            <v>Yes</v>
          </cell>
        </row>
        <row r="248">
          <cell r="C248" t="str">
            <v>Critical/Other Existing Credit</v>
          </cell>
          <cell r="D248" t="str">
            <v>Radio/Tv</v>
          </cell>
          <cell r="E248">
            <v>78870</v>
          </cell>
          <cell r="F248" t="str">
            <v>Less than 10000</v>
          </cell>
          <cell r="G248" t="str">
            <v>7 Years</v>
          </cell>
          <cell r="I248" t="str">
            <v>Male</v>
          </cell>
          <cell r="N248" t="str">
            <v>Own</v>
          </cell>
          <cell r="P248" t="str">
            <v>Skilled</v>
          </cell>
          <cell r="S248" t="str">
            <v>Yes</v>
          </cell>
        </row>
        <row r="249">
          <cell r="C249" t="str">
            <v>No Credits/All Paid</v>
          </cell>
          <cell r="D249" t="str">
            <v>New Car</v>
          </cell>
          <cell r="E249">
            <v>132440</v>
          </cell>
          <cell r="F249" t="str">
            <v>10000 - 49999</v>
          </cell>
          <cell r="G249" t="str">
            <v>1-4 Years</v>
          </cell>
          <cell r="I249" t="str">
            <v>Male</v>
          </cell>
          <cell r="N249" t="str">
            <v>Rent</v>
          </cell>
          <cell r="P249" t="str">
            <v>Skilled</v>
          </cell>
          <cell r="S249" t="str">
            <v>No</v>
          </cell>
        </row>
        <row r="250">
          <cell r="C250" t="str">
            <v>Existing Paid</v>
          </cell>
          <cell r="D250" t="str">
            <v>Furniture/Equipment</v>
          </cell>
          <cell r="E250">
            <v>211750</v>
          </cell>
          <cell r="F250" t="str">
            <v>Less than 10000</v>
          </cell>
          <cell r="G250" t="str">
            <v>1-4 Years</v>
          </cell>
          <cell r="I250" t="str">
            <v>Male</v>
          </cell>
          <cell r="N250" t="str">
            <v>Own</v>
          </cell>
          <cell r="P250" t="str">
            <v>Skilled</v>
          </cell>
          <cell r="S250" t="str">
            <v>Yes</v>
          </cell>
        </row>
        <row r="251">
          <cell r="C251" t="str">
            <v>Existing Paid</v>
          </cell>
          <cell r="D251" t="str">
            <v>Radio/Tv</v>
          </cell>
          <cell r="E251">
            <v>47630</v>
          </cell>
          <cell r="F251" t="str">
            <v>Less than 10000</v>
          </cell>
          <cell r="G251" t="str">
            <v>Unemployed</v>
          </cell>
          <cell r="I251" t="str">
            <v>Female</v>
          </cell>
          <cell r="N251" t="str">
            <v>Rent</v>
          </cell>
          <cell r="P251" t="str">
            <v>Skilled</v>
          </cell>
          <cell r="S251" t="str">
            <v>Yes</v>
          </cell>
        </row>
        <row r="252">
          <cell r="C252" t="str">
            <v>Critical/Other Existing Credit</v>
          </cell>
          <cell r="D252" t="str">
            <v>New Car</v>
          </cell>
          <cell r="E252">
            <v>73260</v>
          </cell>
          <cell r="F252" t="str">
            <v>1,00000 or Above</v>
          </cell>
          <cell r="G252" t="str">
            <v>4-6 Years</v>
          </cell>
          <cell r="I252" t="str">
            <v>Female</v>
          </cell>
          <cell r="N252" t="str">
            <v>Own</v>
          </cell>
          <cell r="P252" t="str">
            <v>Unskilled Resident</v>
          </cell>
          <cell r="S252" t="str">
            <v>Yes</v>
          </cell>
        </row>
        <row r="253">
          <cell r="C253" t="str">
            <v>Existing Paid</v>
          </cell>
          <cell r="D253" t="str">
            <v>Furniture/Equipment</v>
          </cell>
          <cell r="E253">
            <v>247610</v>
          </cell>
          <cell r="F253" t="str">
            <v>Less than 10000</v>
          </cell>
          <cell r="G253" t="str">
            <v>1-4 Years</v>
          </cell>
          <cell r="I253" t="str">
            <v>Female</v>
          </cell>
          <cell r="N253" t="str">
            <v>Own</v>
          </cell>
          <cell r="P253" t="str">
            <v>Unskilled Resident</v>
          </cell>
          <cell r="S253" t="str">
            <v>Yes</v>
          </cell>
        </row>
        <row r="254">
          <cell r="C254" t="str">
            <v>Existing Paid</v>
          </cell>
          <cell r="D254" t="str">
            <v>New Car</v>
          </cell>
          <cell r="E254">
            <v>236500</v>
          </cell>
          <cell r="F254" t="str">
            <v>Less than 10000</v>
          </cell>
          <cell r="G254" t="str">
            <v>1-4 Years</v>
          </cell>
          <cell r="I254" t="str">
            <v>Female</v>
          </cell>
          <cell r="N254" t="str">
            <v>Own</v>
          </cell>
          <cell r="P254" t="str">
            <v>Skilled</v>
          </cell>
          <cell r="S254" t="str">
            <v>Yes</v>
          </cell>
        </row>
        <row r="255">
          <cell r="C255" t="str">
            <v>Delayed Previously</v>
          </cell>
          <cell r="D255" t="str">
            <v>Furniture/Equipment</v>
          </cell>
          <cell r="E255">
            <v>456610</v>
          </cell>
          <cell r="F255" t="str">
            <v>10000 - 49999</v>
          </cell>
          <cell r="G255" t="str">
            <v>1-4 Years</v>
          </cell>
          <cell r="I255" t="str">
            <v>Male</v>
          </cell>
          <cell r="N255" t="str">
            <v>Own</v>
          </cell>
          <cell r="P255" t="str">
            <v>Skilled</v>
          </cell>
          <cell r="S255" t="str">
            <v>Yes</v>
          </cell>
        </row>
        <row r="256">
          <cell r="C256" t="str">
            <v>Existing Paid</v>
          </cell>
          <cell r="D256" t="str">
            <v>Furniture/Equipment</v>
          </cell>
          <cell r="E256">
            <v>223300</v>
          </cell>
          <cell r="F256" t="str">
            <v>No Savings</v>
          </cell>
          <cell r="G256" t="str">
            <v>4-6 Years</v>
          </cell>
          <cell r="I256" t="str">
            <v>Male</v>
          </cell>
          <cell r="N256" t="str">
            <v>Own</v>
          </cell>
          <cell r="P256" t="str">
            <v>Skilled</v>
          </cell>
          <cell r="S256" t="str">
            <v>Yes</v>
          </cell>
        </row>
        <row r="257">
          <cell r="C257" t="str">
            <v>Delayed Previously</v>
          </cell>
          <cell r="D257" t="str">
            <v>Radio/Tv</v>
          </cell>
          <cell r="E257">
            <v>815980</v>
          </cell>
          <cell r="F257" t="str">
            <v>No Savings</v>
          </cell>
          <cell r="G257" t="str">
            <v>1-4 Years</v>
          </cell>
          <cell r="I257" t="str">
            <v>Male</v>
          </cell>
          <cell r="N257" t="str">
            <v>Own</v>
          </cell>
          <cell r="P257" t="str">
            <v>Unskilled Resident</v>
          </cell>
          <cell r="S257" t="str">
            <v>Yes</v>
          </cell>
        </row>
        <row r="258">
          <cell r="C258" t="str">
            <v>Critical/Other Existing Credit</v>
          </cell>
          <cell r="D258" t="str">
            <v>Radio/Tv</v>
          </cell>
          <cell r="E258">
            <v>295240</v>
          </cell>
          <cell r="F258" t="str">
            <v>Less than 10000</v>
          </cell>
          <cell r="G258" t="str">
            <v>1-4 Years</v>
          </cell>
          <cell r="I258" t="str">
            <v>Male</v>
          </cell>
          <cell r="N258" t="str">
            <v>Own</v>
          </cell>
          <cell r="P258" t="str">
            <v>Unskilled Resident</v>
          </cell>
          <cell r="S258" t="str">
            <v>Yes</v>
          </cell>
        </row>
        <row r="259">
          <cell r="C259" t="str">
            <v>All Paid</v>
          </cell>
          <cell r="D259" t="str">
            <v>Radio/Tv</v>
          </cell>
          <cell r="E259">
            <v>236390</v>
          </cell>
          <cell r="F259" t="str">
            <v>Less than 10000</v>
          </cell>
          <cell r="G259" t="str">
            <v>1-4 Years</v>
          </cell>
          <cell r="I259" t="str">
            <v>Male</v>
          </cell>
          <cell r="N259" t="str">
            <v>For Free</v>
          </cell>
          <cell r="P259" t="str">
            <v>Skilled</v>
          </cell>
          <cell r="S259" t="str">
            <v>Yes</v>
          </cell>
        </row>
        <row r="260">
          <cell r="C260" t="str">
            <v>Existing Paid</v>
          </cell>
          <cell r="D260" t="str">
            <v>Used Car</v>
          </cell>
          <cell r="E260">
            <v>419320</v>
          </cell>
          <cell r="F260" t="str">
            <v>10000 - 49999</v>
          </cell>
          <cell r="G260" t="str">
            <v>Below 1Years</v>
          </cell>
          <cell r="I260" t="str">
            <v>Female</v>
          </cell>
          <cell r="N260" t="str">
            <v>Own</v>
          </cell>
          <cell r="P260" t="str">
            <v>Skilled</v>
          </cell>
          <cell r="S260" t="str">
            <v>Yes</v>
          </cell>
        </row>
        <row r="261">
          <cell r="C261" t="str">
            <v>Critical/Other Existing Credit</v>
          </cell>
          <cell r="D261" t="str">
            <v>Radio/Tv</v>
          </cell>
          <cell r="E261">
            <v>126940</v>
          </cell>
          <cell r="F261" t="str">
            <v>10000 - 49999</v>
          </cell>
          <cell r="G261" t="str">
            <v>Unemployed</v>
          </cell>
          <cell r="I261" t="str">
            <v>Female</v>
          </cell>
          <cell r="N261" t="str">
            <v>Own</v>
          </cell>
          <cell r="P261" t="str">
            <v>Unskilled Resident</v>
          </cell>
          <cell r="S261" t="str">
            <v>Yes</v>
          </cell>
        </row>
        <row r="262">
          <cell r="C262" t="str">
            <v>Existing Paid</v>
          </cell>
          <cell r="D262" t="str">
            <v>Furniture/Equipment</v>
          </cell>
          <cell r="E262">
            <v>182270</v>
          </cell>
          <cell r="F262" t="str">
            <v>Less than 10000</v>
          </cell>
          <cell r="G262" t="str">
            <v>1-4 Years</v>
          </cell>
          <cell r="I262" t="str">
            <v>Male</v>
          </cell>
          <cell r="N262" t="str">
            <v>Own</v>
          </cell>
          <cell r="P262" t="str">
            <v>Skilled</v>
          </cell>
          <cell r="S262" t="str">
            <v>Yes</v>
          </cell>
        </row>
        <row r="263">
          <cell r="C263" t="str">
            <v>Existing Paid</v>
          </cell>
          <cell r="D263" t="str">
            <v>Radio/Tv</v>
          </cell>
          <cell r="E263">
            <v>176330</v>
          </cell>
          <cell r="F263" t="str">
            <v>Less than 10000</v>
          </cell>
          <cell r="G263" t="str">
            <v>7 Years</v>
          </cell>
          <cell r="I263" t="str">
            <v>Female</v>
          </cell>
          <cell r="N263" t="str">
            <v>Own</v>
          </cell>
          <cell r="P263" t="str">
            <v>Skilled</v>
          </cell>
          <cell r="S263" t="str">
            <v>Yes</v>
          </cell>
        </row>
        <row r="264">
          <cell r="C264" t="str">
            <v>Critical/Other Existing Credit</v>
          </cell>
          <cell r="D264" t="str">
            <v>New Car</v>
          </cell>
          <cell r="E264">
            <v>583220</v>
          </cell>
          <cell r="F264" t="str">
            <v>Less than 10000</v>
          </cell>
          <cell r="G264" t="str">
            <v>7 Years</v>
          </cell>
          <cell r="I264" t="str">
            <v>Male</v>
          </cell>
          <cell r="N264" t="str">
            <v>For Free</v>
          </cell>
          <cell r="P264" t="str">
            <v>High Qualif/Self Emp/Mgmt</v>
          </cell>
          <cell r="S264" t="str">
            <v>Yes</v>
          </cell>
        </row>
        <row r="265">
          <cell r="C265" t="str">
            <v>Critical/Other Existing Credit</v>
          </cell>
          <cell r="D265" t="str">
            <v>Education</v>
          </cell>
          <cell r="E265">
            <v>302280</v>
          </cell>
          <cell r="F265" t="str">
            <v>Less than 10000</v>
          </cell>
          <cell r="G265" t="str">
            <v>7 Years</v>
          </cell>
          <cell r="I265" t="str">
            <v>Female</v>
          </cell>
          <cell r="N265" t="str">
            <v>For Free</v>
          </cell>
          <cell r="P265" t="str">
            <v>Unskilled Resident</v>
          </cell>
          <cell r="S265" t="str">
            <v>Yes</v>
          </cell>
        </row>
        <row r="266">
          <cell r="C266" t="str">
            <v>Critical/Other Existing Credit</v>
          </cell>
          <cell r="D266" t="str">
            <v>New Car</v>
          </cell>
          <cell r="E266">
            <v>135410</v>
          </cell>
          <cell r="F266" t="str">
            <v>Less than 10000</v>
          </cell>
          <cell r="G266" t="str">
            <v>7 Years</v>
          </cell>
          <cell r="I266" t="str">
            <v>Male</v>
          </cell>
          <cell r="N266" t="str">
            <v>Own</v>
          </cell>
          <cell r="P266" t="str">
            <v>Unskilled Resident</v>
          </cell>
          <cell r="S266" t="str">
            <v>No</v>
          </cell>
        </row>
        <row r="267">
          <cell r="C267" t="str">
            <v>Existing Paid</v>
          </cell>
          <cell r="D267" t="str">
            <v>Radio/Tv</v>
          </cell>
          <cell r="E267">
            <v>88220</v>
          </cell>
          <cell r="F267" t="str">
            <v>Less than 10000</v>
          </cell>
          <cell r="G267" t="str">
            <v>7 Years</v>
          </cell>
          <cell r="I267" t="str">
            <v>Male</v>
          </cell>
          <cell r="N267" t="str">
            <v>Own</v>
          </cell>
          <cell r="P267" t="str">
            <v>Skilled</v>
          </cell>
          <cell r="S267" t="str">
            <v>Yes</v>
          </cell>
        </row>
        <row r="268">
          <cell r="C268" t="str">
            <v>Critical/Other Existing Credit</v>
          </cell>
          <cell r="D268" t="str">
            <v>Business</v>
          </cell>
          <cell r="E268">
            <v>693440</v>
          </cell>
          <cell r="F268" t="str">
            <v>No Savings</v>
          </cell>
          <cell r="G268" t="str">
            <v>7 Years</v>
          </cell>
          <cell r="I268" t="str">
            <v>Male</v>
          </cell>
          <cell r="N268" t="str">
            <v>Own</v>
          </cell>
          <cell r="P268" t="str">
            <v>Skilled</v>
          </cell>
          <cell r="S268" t="str">
            <v>Yes</v>
          </cell>
        </row>
        <row r="269">
          <cell r="C269" t="str">
            <v>Existing Paid</v>
          </cell>
          <cell r="D269" t="str">
            <v>Radio/Tv</v>
          </cell>
          <cell r="E269">
            <v>168630</v>
          </cell>
          <cell r="F269" t="str">
            <v>Less than 10000</v>
          </cell>
          <cell r="G269" t="str">
            <v>Below 1Years</v>
          </cell>
          <cell r="I269" t="str">
            <v>Female</v>
          </cell>
          <cell r="N269" t="str">
            <v>Own</v>
          </cell>
          <cell r="P269" t="str">
            <v>Skilled</v>
          </cell>
          <cell r="S269" t="str">
            <v>Yes</v>
          </cell>
        </row>
        <row r="270">
          <cell r="C270" t="str">
            <v>Existing Paid</v>
          </cell>
          <cell r="D270" t="str">
            <v>New Car</v>
          </cell>
          <cell r="E270">
            <v>987580</v>
          </cell>
          <cell r="F270" t="str">
            <v>Less than 10000</v>
          </cell>
          <cell r="G270" t="str">
            <v>7 Years</v>
          </cell>
          <cell r="I270" t="str">
            <v>Male</v>
          </cell>
          <cell r="N270" t="str">
            <v>Own</v>
          </cell>
          <cell r="P270" t="str">
            <v>High Qualif/Self Emp/Mgmt</v>
          </cell>
          <cell r="S270" t="str">
            <v>No</v>
          </cell>
        </row>
        <row r="271">
          <cell r="C271" t="str">
            <v>Existing Paid</v>
          </cell>
          <cell r="D271" t="str">
            <v>Radio/Tv</v>
          </cell>
          <cell r="E271">
            <v>109890</v>
          </cell>
          <cell r="F271" t="str">
            <v>No Savings</v>
          </cell>
          <cell r="G271" t="str">
            <v>7 Years</v>
          </cell>
          <cell r="I271" t="str">
            <v>Male</v>
          </cell>
          <cell r="N271" t="str">
            <v>Own</v>
          </cell>
          <cell r="P271" t="str">
            <v>Skilled</v>
          </cell>
          <cell r="S271" t="str">
            <v>Yes</v>
          </cell>
        </row>
        <row r="272">
          <cell r="C272" t="str">
            <v>Existing Paid</v>
          </cell>
          <cell r="D272" t="str">
            <v>New Car</v>
          </cell>
          <cell r="E272">
            <v>292820</v>
          </cell>
          <cell r="F272" t="str">
            <v>No Savings</v>
          </cell>
          <cell r="G272" t="str">
            <v>4-6 Years</v>
          </cell>
          <cell r="I272" t="str">
            <v>Male</v>
          </cell>
          <cell r="N272" t="str">
            <v>Own</v>
          </cell>
          <cell r="P272" t="str">
            <v>Skilled</v>
          </cell>
          <cell r="S272" t="str">
            <v>No</v>
          </cell>
        </row>
        <row r="273">
          <cell r="C273" t="str">
            <v>Critical/Other Existing Credit</v>
          </cell>
          <cell r="D273" t="str">
            <v>Furniture/Equipment</v>
          </cell>
          <cell r="E273">
            <v>154220</v>
          </cell>
          <cell r="F273" t="str">
            <v>50000 - 99999</v>
          </cell>
          <cell r="G273" t="str">
            <v>4-6 Years</v>
          </cell>
          <cell r="I273" t="str">
            <v>Female</v>
          </cell>
          <cell r="N273" t="str">
            <v>Rent</v>
          </cell>
          <cell r="P273" t="str">
            <v>Skilled</v>
          </cell>
          <cell r="S273" t="str">
            <v>Yes</v>
          </cell>
        </row>
        <row r="274">
          <cell r="C274" t="str">
            <v>All Paid</v>
          </cell>
          <cell r="D274" t="str">
            <v>New Car</v>
          </cell>
          <cell r="E274">
            <v>1338590</v>
          </cell>
          <cell r="F274" t="str">
            <v>No Savings</v>
          </cell>
          <cell r="G274" t="str">
            <v>Unemployed</v>
          </cell>
          <cell r="I274" t="str">
            <v>Male</v>
          </cell>
          <cell r="N274" t="str">
            <v>For Free</v>
          </cell>
          <cell r="P274" t="str">
            <v>High Qualif/Self Emp/Mgmt</v>
          </cell>
          <cell r="S274" t="str">
            <v>Yes</v>
          </cell>
        </row>
        <row r="275">
          <cell r="C275" t="str">
            <v>Existing Paid</v>
          </cell>
          <cell r="D275" t="str">
            <v>Radio/Tv</v>
          </cell>
          <cell r="E275">
            <v>336600</v>
          </cell>
          <cell r="F275" t="str">
            <v>Less than 10000</v>
          </cell>
          <cell r="G275" t="str">
            <v>4-6 Years</v>
          </cell>
          <cell r="I275" t="str">
            <v>Male</v>
          </cell>
          <cell r="N275" t="str">
            <v>Own</v>
          </cell>
          <cell r="P275" t="str">
            <v>Skilled</v>
          </cell>
          <cell r="S275" t="str">
            <v>Yes</v>
          </cell>
        </row>
        <row r="276">
          <cell r="C276" t="str">
            <v>Existing Paid</v>
          </cell>
          <cell r="D276" t="str">
            <v>Repairs</v>
          </cell>
          <cell r="E276">
            <v>1319780</v>
          </cell>
          <cell r="F276" t="str">
            <v>Less than 10000</v>
          </cell>
          <cell r="G276" t="str">
            <v>Below 1Years</v>
          </cell>
          <cell r="I276" t="str">
            <v>Male</v>
          </cell>
          <cell r="N276" t="str">
            <v>Own</v>
          </cell>
          <cell r="P276" t="str">
            <v>Unskilled Resident</v>
          </cell>
          <cell r="S276" t="str">
            <v>Yes</v>
          </cell>
        </row>
        <row r="277">
          <cell r="C277" t="str">
            <v>Existing Paid</v>
          </cell>
          <cell r="D277" t="str">
            <v>Radio/Tv</v>
          </cell>
          <cell r="E277">
            <v>296670</v>
          </cell>
          <cell r="F277" t="str">
            <v>Less than 10000</v>
          </cell>
          <cell r="G277" t="str">
            <v>1-4 Years</v>
          </cell>
          <cell r="I277" t="str">
            <v>Male</v>
          </cell>
          <cell r="N277" t="str">
            <v>Own</v>
          </cell>
          <cell r="P277" t="str">
            <v>Skilled</v>
          </cell>
          <cell r="S277" t="str">
            <v>Yes</v>
          </cell>
        </row>
        <row r="278">
          <cell r="C278" t="str">
            <v>Critical/Other Existing Credit</v>
          </cell>
          <cell r="D278" t="str">
            <v>Radio/Tv</v>
          </cell>
          <cell r="E278">
            <v>264440</v>
          </cell>
          <cell r="F278" t="str">
            <v>Less than 10000</v>
          </cell>
          <cell r="G278" t="str">
            <v>1-4 Years</v>
          </cell>
          <cell r="I278" t="str">
            <v>Female</v>
          </cell>
          <cell r="N278" t="str">
            <v>Own</v>
          </cell>
          <cell r="P278" t="str">
            <v>Skilled</v>
          </cell>
          <cell r="S278" t="str">
            <v>Yes</v>
          </cell>
        </row>
        <row r="279">
          <cell r="C279" t="str">
            <v>Existing Paid</v>
          </cell>
          <cell r="D279" t="str">
            <v>Furniture/Equipment</v>
          </cell>
          <cell r="E279">
            <v>138820</v>
          </cell>
          <cell r="F279" t="str">
            <v>No Savings</v>
          </cell>
          <cell r="G279" t="str">
            <v>7 Years</v>
          </cell>
          <cell r="I279" t="str">
            <v>Male</v>
          </cell>
          <cell r="N279" t="str">
            <v>Own</v>
          </cell>
          <cell r="P279" t="str">
            <v>Unskilled Resident</v>
          </cell>
          <cell r="S279" t="str">
            <v>Yes</v>
          </cell>
        </row>
        <row r="280">
          <cell r="C280" t="str">
            <v>Existing Paid</v>
          </cell>
          <cell r="D280" t="str">
            <v>Furniture/Equipment</v>
          </cell>
          <cell r="E280">
            <v>507210</v>
          </cell>
          <cell r="F280" t="str">
            <v>Less than 10000</v>
          </cell>
          <cell r="G280" t="str">
            <v>Below 1Years</v>
          </cell>
          <cell r="I280" t="str">
            <v>Female</v>
          </cell>
          <cell r="N280" t="str">
            <v>Own</v>
          </cell>
          <cell r="P280" t="str">
            <v>Skilled</v>
          </cell>
          <cell r="S280" t="str">
            <v>Yes</v>
          </cell>
        </row>
        <row r="281">
          <cell r="C281" t="str">
            <v>Existing Paid</v>
          </cell>
          <cell r="D281" t="str">
            <v>Radio/Tv</v>
          </cell>
          <cell r="E281">
            <v>209110</v>
          </cell>
          <cell r="F281" t="str">
            <v>10000 - 49999</v>
          </cell>
          <cell r="G281" t="str">
            <v>1-4 Years</v>
          </cell>
          <cell r="I281" t="str">
            <v>Male</v>
          </cell>
          <cell r="N281" t="str">
            <v>Rent</v>
          </cell>
          <cell r="P281" t="str">
            <v>High Qualif/Self Emp/Mgmt</v>
          </cell>
          <cell r="S281" t="str">
            <v>Yes</v>
          </cell>
        </row>
        <row r="282">
          <cell r="C282" t="str">
            <v>Critical/Other Existing Credit</v>
          </cell>
          <cell r="D282" t="str">
            <v>Used Car</v>
          </cell>
          <cell r="E282">
            <v>370480</v>
          </cell>
          <cell r="F282" t="str">
            <v>1,00000 or Above</v>
          </cell>
          <cell r="G282" t="str">
            <v>7 Years</v>
          </cell>
          <cell r="I282" t="str">
            <v>Male</v>
          </cell>
          <cell r="N282" t="str">
            <v>Rent</v>
          </cell>
          <cell r="P282" t="str">
            <v>Skilled</v>
          </cell>
          <cell r="S282" t="str">
            <v>Yes</v>
          </cell>
        </row>
        <row r="283">
          <cell r="C283" t="str">
            <v>Existing Paid</v>
          </cell>
          <cell r="D283" t="str">
            <v>Furniture/Equipment</v>
          </cell>
          <cell r="E283">
            <v>173140</v>
          </cell>
          <cell r="F283" t="str">
            <v>Less than 10000</v>
          </cell>
          <cell r="G283" t="str">
            <v>1-4 Years</v>
          </cell>
          <cell r="I283" t="str">
            <v>Male</v>
          </cell>
          <cell r="N283" t="str">
            <v>Own</v>
          </cell>
          <cell r="P283" t="str">
            <v>Skilled</v>
          </cell>
          <cell r="S283" t="str">
            <v>Yes</v>
          </cell>
        </row>
        <row r="284">
          <cell r="C284" t="str">
            <v>All Paid</v>
          </cell>
          <cell r="D284" t="str">
            <v>Radio/Tv</v>
          </cell>
          <cell r="E284">
            <v>158950</v>
          </cell>
          <cell r="F284" t="str">
            <v>No Savings</v>
          </cell>
          <cell r="G284" t="str">
            <v>4-6 Years</v>
          </cell>
          <cell r="I284" t="str">
            <v>Male</v>
          </cell>
          <cell r="N284" t="str">
            <v>Own</v>
          </cell>
          <cell r="P284" t="str">
            <v>Unskilled Resident</v>
          </cell>
          <cell r="S284" t="str">
            <v>Yes</v>
          </cell>
        </row>
        <row r="285">
          <cell r="C285" t="str">
            <v>Critical/Other Existing Credit</v>
          </cell>
          <cell r="D285" t="str">
            <v>Furniture/Equipment</v>
          </cell>
          <cell r="E285">
            <v>167200</v>
          </cell>
          <cell r="F285" t="str">
            <v>No Savings</v>
          </cell>
          <cell r="G285" t="str">
            <v>7 Years</v>
          </cell>
          <cell r="I285" t="str">
            <v>Male</v>
          </cell>
          <cell r="N285" t="str">
            <v>Own</v>
          </cell>
          <cell r="P285" t="str">
            <v>Skilled</v>
          </cell>
          <cell r="S285" t="str">
            <v>Yes</v>
          </cell>
        </row>
        <row r="286">
          <cell r="C286" t="str">
            <v>Critical/Other Existing Credit</v>
          </cell>
          <cell r="D286" t="str">
            <v>New Car</v>
          </cell>
          <cell r="E286">
            <v>426580</v>
          </cell>
          <cell r="F286" t="str">
            <v>10000 - 49999</v>
          </cell>
          <cell r="G286" t="str">
            <v>Below 1Years</v>
          </cell>
          <cell r="I286" t="str">
            <v>Male</v>
          </cell>
          <cell r="N286" t="str">
            <v>Own</v>
          </cell>
          <cell r="P286" t="str">
            <v>Skilled</v>
          </cell>
          <cell r="S286" t="str">
            <v>Yes</v>
          </cell>
        </row>
        <row r="287">
          <cell r="C287" t="str">
            <v>Existing Paid</v>
          </cell>
          <cell r="D287" t="str">
            <v>New Car</v>
          </cell>
          <cell r="E287">
            <v>1179420</v>
          </cell>
          <cell r="F287" t="str">
            <v>Less than 10000</v>
          </cell>
          <cell r="G287" t="str">
            <v>Below 1Years</v>
          </cell>
          <cell r="I287" t="str">
            <v>Female</v>
          </cell>
          <cell r="N287" t="str">
            <v>Own</v>
          </cell>
          <cell r="P287" t="str">
            <v>Unskilled Resident</v>
          </cell>
          <cell r="S287" t="str">
            <v>Yes</v>
          </cell>
        </row>
        <row r="288">
          <cell r="C288" t="str">
            <v>Existing Paid</v>
          </cell>
          <cell r="D288" t="str">
            <v>Used Car</v>
          </cell>
          <cell r="E288">
            <v>526680</v>
          </cell>
          <cell r="F288" t="str">
            <v>Less than 10000</v>
          </cell>
          <cell r="G288" t="str">
            <v>4-6 Years</v>
          </cell>
          <cell r="I288" t="str">
            <v>Male</v>
          </cell>
          <cell r="N288" t="str">
            <v>Own</v>
          </cell>
          <cell r="P288" t="str">
            <v>Skilled</v>
          </cell>
          <cell r="S288" t="str">
            <v>Yes</v>
          </cell>
        </row>
        <row r="289">
          <cell r="C289" t="str">
            <v>Delayed Previously</v>
          </cell>
          <cell r="D289" t="str">
            <v>Other</v>
          </cell>
          <cell r="E289">
            <v>834020</v>
          </cell>
          <cell r="F289" t="str">
            <v>10000 - 49999</v>
          </cell>
          <cell r="G289" t="str">
            <v>Unemployed</v>
          </cell>
          <cell r="I289" t="str">
            <v>Male</v>
          </cell>
          <cell r="N289" t="str">
            <v>For Free</v>
          </cell>
          <cell r="P289" t="str">
            <v>High Qualif/Self Emp/Mgmt</v>
          </cell>
          <cell r="S289" t="str">
            <v>Yes</v>
          </cell>
        </row>
        <row r="290">
          <cell r="C290" t="str">
            <v>Existing Paid</v>
          </cell>
          <cell r="D290" t="str">
            <v>Radio/Tv</v>
          </cell>
          <cell r="E290">
            <v>120120</v>
          </cell>
          <cell r="F290" t="str">
            <v>Less than 10000</v>
          </cell>
          <cell r="G290" t="str">
            <v>1-4 Years</v>
          </cell>
          <cell r="I290" t="str">
            <v>Female</v>
          </cell>
          <cell r="N290" t="str">
            <v>Own</v>
          </cell>
          <cell r="P290" t="str">
            <v>Skilled</v>
          </cell>
          <cell r="S290" t="str">
            <v>Yes</v>
          </cell>
        </row>
        <row r="291">
          <cell r="C291" t="str">
            <v>Delayed Previously</v>
          </cell>
          <cell r="D291" t="str">
            <v>Radio/Tv</v>
          </cell>
          <cell r="E291">
            <v>112640</v>
          </cell>
          <cell r="F291" t="str">
            <v>Less than 10000</v>
          </cell>
          <cell r="G291" t="str">
            <v>Below 1Years</v>
          </cell>
          <cell r="I291" t="str">
            <v>Male</v>
          </cell>
          <cell r="N291" t="str">
            <v>Own</v>
          </cell>
          <cell r="P291" t="str">
            <v>Skilled</v>
          </cell>
          <cell r="S291" t="str">
            <v>Yes</v>
          </cell>
        </row>
        <row r="292">
          <cell r="C292" t="str">
            <v>Existing Paid</v>
          </cell>
          <cell r="D292" t="str">
            <v>Business</v>
          </cell>
          <cell r="E292">
            <v>118360</v>
          </cell>
          <cell r="F292" t="str">
            <v>Less than 10000</v>
          </cell>
          <cell r="G292" t="str">
            <v>1-4 Years</v>
          </cell>
          <cell r="I292" t="str">
            <v>Male</v>
          </cell>
          <cell r="N292" t="str">
            <v>Own</v>
          </cell>
          <cell r="P292" t="str">
            <v>Skilled</v>
          </cell>
          <cell r="S292" t="str">
            <v>No</v>
          </cell>
        </row>
        <row r="293">
          <cell r="C293" t="str">
            <v>Existing Paid</v>
          </cell>
          <cell r="D293" t="str">
            <v>Used Car</v>
          </cell>
          <cell r="E293">
            <v>1033780</v>
          </cell>
          <cell r="F293" t="str">
            <v>Less than 10000</v>
          </cell>
          <cell r="G293" t="str">
            <v>Below 1Years</v>
          </cell>
          <cell r="I293" t="str">
            <v>Male</v>
          </cell>
          <cell r="N293" t="str">
            <v>Rent</v>
          </cell>
          <cell r="P293" t="str">
            <v>High Qualif/Self Emp/Mgmt</v>
          </cell>
          <cell r="S293" t="str">
            <v>Yes</v>
          </cell>
        </row>
        <row r="294">
          <cell r="C294" t="str">
            <v>Critical/Other Existing Credit</v>
          </cell>
          <cell r="D294" t="str">
            <v>Used Car</v>
          </cell>
          <cell r="E294">
            <v>706090</v>
          </cell>
          <cell r="F294" t="str">
            <v>Less than 10000</v>
          </cell>
          <cell r="G294" t="str">
            <v>7 Years</v>
          </cell>
          <cell r="I294" t="str">
            <v>Female</v>
          </cell>
          <cell r="N294" t="str">
            <v>For Free</v>
          </cell>
          <cell r="P294" t="str">
            <v>High Qualif/Self Emp/Mgmt</v>
          </cell>
          <cell r="S294" t="str">
            <v>Yes</v>
          </cell>
        </row>
        <row r="295">
          <cell r="C295" t="str">
            <v>Critical/Other Existing Credit</v>
          </cell>
          <cell r="D295" t="str">
            <v>Used Car</v>
          </cell>
          <cell r="E295">
            <v>527560</v>
          </cell>
          <cell r="F295" t="str">
            <v>Less than 10000</v>
          </cell>
          <cell r="G295" t="str">
            <v>7 Years</v>
          </cell>
          <cell r="I295" t="str">
            <v>Male</v>
          </cell>
          <cell r="N295" t="str">
            <v>For Free</v>
          </cell>
          <cell r="P295" t="str">
            <v>Skilled</v>
          </cell>
          <cell r="S295" t="str">
            <v>Yes</v>
          </cell>
        </row>
        <row r="296">
          <cell r="C296" t="str">
            <v>Critical/Other Existing Credit</v>
          </cell>
          <cell r="D296" t="str">
            <v>Business</v>
          </cell>
          <cell r="E296">
            <v>839190</v>
          </cell>
          <cell r="F296" t="str">
            <v>No Savings</v>
          </cell>
          <cell r="G296" t="str">
            <v>7 Years</v>
          </cell>
          <cell r="I296" t="str">
            <v>Male</v>
          </cell>
          <cell r="N296" t="str">
            <v>Own</v>
          </cell>
          <cell r="P296" t="str">
            <v>High Qualif/Self Emp/Mgmt</v>
          </cell>
          <cell r="S296" t="str">
            <v>Yes</v>
          </cell>
        </row>
        <row r="297">
          <cell r="C297" t="str">
            <v>Existing Paid</v>
          </cell>
          <cell r="D297" t="str">
            <v>Furniture/Equipment</v>
          </cell>
          <cell r="E297">
            <v>1095600</v>
          </cell>
          <cell r="F297" t="str">
            <v>Less than 10000</v>
          </cell>
          <cell r="G297" t="str">
            <v>Below 1Years</v>
          </cell>
          <cell r="I297" t="str">
            <v>Female</v>
          </cell>
          <cell r="N297" t="str">
            <v>Own</v>
          </cell>
          <cell r="P297" t="str">
            <v>Skilled</v>
          </cell>
          <cell r="S297" t="str">
            <v>Yes</v>
          </cell>
        </row>
        <row r="298">
          <cell r="C298" t="str">
            <v>Existing Paid</v>
          </cell>
          <cell r="D298" t="str">
            <v>Used Car</v>
          </cell>
          <cell r="E298">
            <v>514250</v>
          </cell>
          <cell r="F298" t="str">
            <v>No Savings</v>
          </cell>
          <cell r="G298" t="str">
            <v>Below 1Years</v>
          </cell>
          <cell r="I298" t="str">
            <v>Female</v>
          </cell>
          <cell r="N298" t="str">
            <v>Rent</v>
          </cell>
          <cell r="P298" t="str">
            <v>Skilled</v>
          </cell>
          <cell r="S298" t="str">
            <v>Yes</v>
          </cell>
        </row>
        <row r="299">
          <cell r="C299" t="str">
            <v>Existing Paid</v>
          </cell>
          <cell r="D299" t="str">
            <v>New Car</v>
          </cell>
          <cell r="E299">
            <v>141570</v>
          </cell>
          <cell r="F299" t="str">
            <v>No Savings</v>
          </cell>
          <cell r="G299" t="str">
            <v>7 Years</v>
          </cell>
          <cell r="I299" t="str">
            <v>Male</v>
          </cell>
          <cell r="N299" t="str">
            <v>Own</v>
          </cell>
          <cell r="P299" t="str">
            <v>Unskilled Resident</v>
          </cell>
          <cell r="S299" t="str">
            <v>No</v>
          </cell>
        </row>
        <row r="300">
          <cell r="C300" t="str">
            <v>Existing Paid</v>
          </cell>
          <cell r="D300" t="str">
            <v>Furniture/Equipment</v>
          </cell>
          <cell r="E300">
            <v>276650</v>
          </cell>
          <cell r="F300" t="str">
            <v>Less than 10000</v>
          </cell>
          <cell r="G300" t="str">
            <v>1-4 Years</v>
          </cell>
          <cell r="I300" t="str">
            <v>Male</v>
          </cell>
          <cell r="N300" t="str">
            <v>Own</v>
          </cell>
          <cell r="P300" t="str">
            <v>Skilled</v>
          </cell>
          <cell r="S300" t="str">
            <v>Yes</v>
          </cell>
        </row>
        <row r="301">
          <cell r="C301" t="str">
            <v>Critical/Other Existing Credit</v>
          </cell>
          <cell r="D301" t="str">
            <v>Furniture/Equipment</v>
          </cell>
          <cell r="E301">
            <v>301950</v>
          </cell>
          <cell r="F301" t="str">
            <v>1,00000 or Above</v>
          </cell>
          <cell r="G301" t="str">
            <v>4-6 Years</v>
          </cell>
          <cell r="I301" t="str">
            <v>Male</v>
          </cell>
          <cell r="N301" t="str">
            <v>Own</v>
          </cell>
          <cell r="P301" t="str">
            <v>Skilled</v>
          </cell>
          <cell r="S301" t="str">
            <v>Yes</v>
          </cell>
        </row>
        <row r="302">
          <cell r="C302" t="str">
            <v>Existing Paid</v>
          </cell>
          <cell r="D302" t="str">
            <v>New Car</v>
          </cell>
          <cell r="E302">
            <v>73920</v>
          </cell>
          <cell r="F302" t="str">
            <v>Less than 10000</v>
          </cell>
          <cell r="G302" t="str">
            <v>Unemployed</v>
          </cell>
          <cell r="I302" t="str">
            <v>Female</v>
          </cell>
          <cell r="N302" t="str">
            <v>Own</v>
          </cell>
          <cell r="P302" t="str">
            <v>Unemp/Unskilled Non Res</v>
          </cell>
          <cell r="S302" t="str">
            <v>Yes</v>
          </cell>
        </row>
        <row r="303">
          <cell r="C303" t="str">
            <v>No Credits/All Paid</v>
          </cell>
          <cell r="D303" t="str">
            <v>Radio/Tv</v>
          </cell>
          <cell r="E303">
            <v>418440</v>
          </cell>
          <cell r="F303" t="str">
            <v>Less than 10000</v>
          </cell>
          <cell r="G303" t="str">
            <v>1-4 Years</v>
          </cell>
          <cell r="I303" t="str">
            <v>Female</v>
          </cell>
          <cell r="N303" t="str">
            <v>Own</v>
          </cell>
          <cell r="P303" t="str">
            <v>Skilled</v>
          </cell>
          <cell r="S303" t="str">
            <v>Yes</v>
          </cell>
        </row>
        <row r="304">
          <cell r="C304" t="str">
            <v>Critical/Other Existing Credit</v>
          </cell>
          <cell r="D304" t="str">
            <v>New Car</v>
          </cell>
          <cell r="E304">
            <v>147840</v>
          </cell>
          <cell r="F304" t="str">
            <v>No Savings</v>
          </cell>
          <cell r="G304" t="str">
            <v>4-6 Years</v>
          </cell>
          <cell r="I304" t="str">
            <v>Male</v>
          </cell>
          <cell r="N304" t="str">
            <v>Own</v>
          </cell>
          <cell r="P304" t="str">
            <v>Unskilled Resident</v>
          </cell>
          <cell r="S304" t="str">
            <v>Yes</v>
          </cell>
        </row>
        <row r="305">
          <cell r="C305" t="str">
            <v>Critical/Other Existing Credit</v>
          </cell>
          <cell r="D305" t="str">
            <v>New Car</v>
          </cell>
          <cell r="E305">
            <v>114180</v>
          </cell>
          <cell r="F305" t="str">
            <v>Less than 10000</v>
          </cell>
          <cell r="G305" t="str">
            <v>4-6 Years</v>
          </cell>
          <cell r="I305" t="str">
            <v>Male</v>
          </cell>
          <cell r="N305" t="str">
            <v>Own</v>
          </cell>
          <cell r="P305" t="str">
            <v>Skilled</v>
          </cell>
          <cell r="S305" t="str">
            <v>Yes</v>
          </cell>
        </row>
        <row r="306">
          <cell r="C306" t="str">
            <v>Critical/Other Existing Credit</v>
          </cell>
          <cell r="D306" t="str">
            <v>New Car</v>
          </cell>
          <cell r="E306">
            <v>1113970</v>
          </cell>
          <cell r="F306" t="str">
            <v>50000 - 99999</v>
          </cell>
          <cell r="G306" t="str">
            <v>1-4 Years</v>
          </cell>
          <cell r="I306" t="str">
            <v>Male</v>
          </cell>
          <cell r="N306" t="str">
            <v>For Free</v>
          </cell>
          <cell r="P306" t="str">
            <v>Skilled</v>
          </cell>
          <cell r="S306" t="str">
            <v>Yes</v>
          </cell>
        </row>
        <row r="307">
          <cell r="C307" t="str">
            <v>Existing Paid</v>
          </cell>
          <cell r="D307" t="str">
            <v>Furniture/Equipment</v>
          </cell>
          <cell r="E307">
            <v>169730</v>
          </cell>
          <cell r="F307" t="str">
            <v>1,00000 or Above</v>
          </cell>
          <cell r="G307" t="str">
            <v>1-4 Years</v>
          </cell>
          <cell r="I307" t="str">
            <v>Male</v>
          </cell>
          <cell r="N307" t="str">
            <v>Own</v>
          </cell>
          <cell r="P307" t="str">
            <v>Skilled</v>
          </cell>
          <cell r="S307" t="str">
            <v>Yes</v>
          </cell>
        </row>
        <row r="308">
          <cell r="C308" t="str">
            <v>Existing Paid</v>
          </cell>
          <cell r="D308" t="str">
            <v>Used Car</v>
          </cell>
          <cell r="E308">
            <v>529210</v>
          </cell>
          <cell r="F308" t="str">
            <v>No Savings</v>
          </cell>
          <cell r="G308" t="str">
            <v>4-6 Years</v>
          </cell>
          <cell r="I308" t="str">
            <v>Female</v>
          </cell>
          <cell r="N308" t="str">
            <v>Rent</v>
          </cell>
          <cell r="P308" t="str">
            <v>Unskilled Resident</v>
          </cell>
          <cell r="S308" t="str">
            <v>Yes</v>
          </cell>
        </row>
        <row r="309">
          <cell r="C309" t="str">
            <v>Existing Paid</v>
          </cell>
          <cell r="D309" t="str">
            <v>Radio/Tv</v>
          </cell>
          <cell r="E309">
            <v>79970</v>
          </cell>
          <cell r="F309" t="str">
            <v>10000 - 49999</v>
          </cell>
          <cell r="G309" t="str">
            <v>Below 1Years</v>
          </cell>
          <cell r="I309" t="str">
            <v>Male</v>
          </cell>
          <cell r="N309" t="str">
            <v>Own</v>
          </cell>
          <cell r="P309" t="str">
            <v>Unskilled Resident</v>
          </cell>
          <cell r="S309" t="str">
            <v>Yes</v>
          </cell>
        </row>
        <row r="310">
          <cell r="C310" t="str">
            <v>Existing Paid</v>
          </cell>
          <cell r="D310" t="str">
            <v>Furniture/Equipment</v>
          </cell>
          <cell r="E310">
            <v>136070</v>
          </cell>
          <cell r="F310" t="str">
            <v>Less than 10000</v>
          </cell>
          <cell r="G310" t="str">
            <v>1-4 Years</v>
          </cell>
          <cell r="I310" t="str">
            <v>Female</v>
          </cell>
          <cell r="N310" t="str">
            <v>Own</v>
          </cell>
          <cell r="P310" t="str">
            <v>Skilled</v>
          </cell>
          <cell r="S310" t="str">
            <v>Yes</v>
          </cell>
        </row>
        <row r="311">
          <cell r="C311" t="str">
            <v>Existing Paid</v>
          </cell>
          <cell r="D311" t="str">
            <v>New Car</v>
          </cell>
          <cell r="E311">
            <v>30360</v>
          </cell>
          <cell r="F311" t="str">
            <v>Less than 10000</v>
          </cell>
          <cell r="G311" t="str">
            <v>1-4 Years</v>
          </cell>
          <cell r="I311" t="str">
            <v>Male</v>
          </cell>
          <cell r="N311" t="str">
            <v>Rent</v>
          </cell>
          <cell r="P311" t="str">
            <v>Unskilled Resident</v>
          </cell>
          <cell r="S311" t="str">
            <v>Yes</v>
          </cell>
        </row>
        <row r="312">
          <cell r="C312" t="str">
            <v>Existing Paid</v>
          </cell>
          <cell r="D312" t="str">
            <v>Other</v>
          </cell>
          <cell r="E312">
            <v>591910</v>
          </cell>
          <cell r="F312" t="str">
            <v>No Savings</v>
          </cell>
          <cell r="G312" t="str">
            <v>Unemployed</v>
          </cell>
          <cell r="I312" t="str">
            <v>Male</v>
          </cell>
          <cell r="N312" t="str">
            <v>For Free</v>
          </cell>
          <cell r="P312" t="str">
            <v>Unemp/Unskilled Non Res</v>
          </cell>
          <cell r="S312" t="str">
            <v>Yes</v>
          </cell>
        </row>
        <row r="313">
          <cell r="C313" t="str">
            <v>Existing Paid</v>
          </cell>
          <cell r="D313" t="str">
            <v>Furniture/Equipment</v>
          </cell>
          <cell r="E313">
            <v>606210</v>
          </cell>
          <cell r="F313" t="str">
            <v>10000 - 49999</v>
          </cell>
          <cell r="G313" t="str">
            <v>1-4 Years</v>
          </cell>
          <cell r="I313" t="str">
            <v>Male</v>
          </cell>
          <cell r="N313" t="str">
            <v>Own</v>
          </cell>
          <cell r="P313" t="str">
            <v>Skilled</v>
          </cell>
          <cell r="S313" t="str">
            <v>Yes</v>
          </cell>
        </row>
        <row r="314">
          <cell r="C314" t="str">
            <v>Existing Paid</v>
          </cell>
          <cell r="D314" t="str">
            <v>Furniture/Equipment</v>
          </cell>
          <cell r="E314">
            <v>412390</v>
          </cell>
          <cell r="F314" t="str">
            <v>Less than 10000</v>
          </cell>
          <cell r="G314" t="str">
            <v>Below 1Years</v>
          </cell>
          <cell r="I314" t="str">
            <v>Female</v>
          </cell>
          <cell r="N314" t="str">
            <v>Own</v>
          </cell>
          <cell r="P314" t="str">
            <v>Skilled</v>
          </cell>
          <cell r="S314" t="str">
            <v>Yes</v>
          </cell>
        </row>
        <row r="315">
          <cell r="C315" t="str">
            <v>Existing Paid</v>
          </cell>
          <cell r="D315" t="str">
            <v>New Car</v>
          </cell>
          <cell r="E315">
            <v>75350</v>
          </cell>
          <cell r="F315" t="str">
            <v>Less than 10000</v>
          </cell>
          <cell r="G315" t="str">
            <v>4-6 Years</v>
          </cell>
          <cell r="I315" t="str">
            <v>Male</v>
          </cell>
          <cell r="N315" t="str">
            <v>Own</v>
          </cell>
          <cell r="P315" t="str">
            <v>Unskilled Resident</v>
          </cell>
          <cell r="S315" t="str">
            <v>Yes</v>
          </cell>
        </row>
        <row r="316">
          <cell r="C316" t="str">
            <v>Existing Paid</v>
          </cell>
          <cell r="D316" t="str">
            <v>New Car</v>
          </cell>
          <cell r="E316">
            <v>164340</v>
          </cell>
          <cell r="F316" t="str">
            <v>No Savings</v>
          </cell>
          <cell r="G316" t="str">
            <v>Below 1Years</v>
          </cell>
          <cell r="I316" t="str">
            <v>Male</v>
          </cell>
          <cell r="N316" t="str">
            <v>Own</v>
          </cell>
          <cell r="P316" t="str">
            <v>Unskilled Resident</v>
          </cell>
          <cell r="S316" t="str">
            <v>No</v>
          </cell>
        </row>
        <row r="317">
          <cell r="C317" t="str">
            <v>All Paid</v>
          </cell>
          <cell r="D317" t="str">
            <v>Furniture/Equipment</v>
          </cell>
          <cell r="E317">
            <v>302060</v>
          </cell>
          <cell r="F317" t="str">
            <v>Less than 10000</v>
          </cell>
          <cell r="G317" t="str">
            <v>7 Years</v>
          </cell>
          <cell r="I317" t="str">
            <v>Male</v>
          </cell>
          <cell r="N317" t="str">
            <v>Own</v>
          </cell>
          <cell r="P317" t="str">
            <v>Skilled</v>
          </cell>
          <cell r="S317" t="str">
            <v>Yes</v>
          </cell>
        </row>
        <row r="318">
          <cell r="C318" t="str">
            <v>Existing Paid</v>
          </cell>
          <cell r="D318" t="str">
            <v>Furniture/Equipment</v>
          </cell>
          <cell r="E318">
            <v>77880</v>
          </cell>
          <cell r="F318" t="str">
            <v>Less than 10000</v>
          </cell>
          <cell r="G318" t="str">
            <v>1-4 Years</v>
          </cell>
          <cell r="I318" t="str">
            <v>Male</v>
          </cell>
          <cell r="N318" t="str">
            <v>Own</v>
          </cell>
          <cell r="P318" t="str">
            <v>Unskilled Resident</v>
          </cell>
          <cell r="S318" t="str">
            <v>Yes</v>
          </cell>
        </row>
        <row r="319">
          <cell r="C319" t="str">
            <v>Existing Paid</v>
          </cell>
          <cell r="D319" t="str">
            <v>Furniture/Equipment</v>
          </cell>
          <cell r="E319">
            <v>478610</v>
          </cell>
          <cell r="F319" t="str">
            <v>No Savings</v>
          </cell>
          <cell r="G319" t="str">
            <v>1-4 Years</v>
          </cell>
          <cell r="I319" t="str">
            <v>Female</v>
          </cell>
          <cell r="N319" t="str">
            <v>Own</v>
          </cell>
          <cell r="P319" t="str">
            <v>Unskilled Resident</v>
          </cell>
          <cell r="S319" t="str">
            <v>Yes</v>
          </cell>
        </row>
        <row r="320">
          <cell r="C320" t="str">
            <v>Critical/Other Existing Credit</v>
          </cell>
          <cell r="D320" t="str">
            <v>Education</v>
          </cell>
          <cell r="E320">
            <v>77110</v>
          </cell>
          <cell r="F320" t="str">
            <v>Less than 10000</v>
          </cell>
          <cell r="G320" t="str">
            <v>1-4 Years</v>
          </cell>
          <cell r="I320" t="str">
            <v>Male</v>
          </cell>
          <cell r="N320" t="str">
            <v>Own</v>
          </cell>
          <cell r="P320" t="str">
            <v>Skilled</v>
          </cell>
          <cell r="S320" t="str">
            <v>Yes</v>
          </cell>
        </row>
        <row r="321">
          <cell r="C321" t="str">
            <v>Delayed Previously</v>
          </cell>
          <cell r="D321" t="str">
            <v>Furniture/Equipment</v>
          </cell>
          <cell r="E321">
            <v>400730</v>
          </cell>
          <cell r="F321" t="str">
            <v>Less than 10000</v>
          </cell>
          <cell r="G321" t="str">
            <v>7 Years</v>
          </cell>
          <cell r="I321" t="str">
            <v>Female</v>
          </cell>
          <cell r="N321" t="str">
            <v>Own</v>
          </cell>
          <cell r="P321" t="str">
            <v>Unskilled Resident</v>
          </cell>
          <cell r="S321" t="str">
            <v>Yes</v>
          </cell>
        </row>
        <row r="322">
          <cell r="C322" t="str">
            <v>Critical/Other Existing Credit</v>
          </cell>
          <cell r="D322" t="str">
            <v>New Car</v>
          </cell>
          <cell r="E322">
            <v>467390</v>
          </cell>
          <cell r="F322" t="str">
            <v>Less than 10000</v>
          </cell>
          <cell r="G322" t="str">
            <v>Unemployed</v>
          </cell>
          <cell r="I322" t="str">
            <v>Male</v>
          </cell>
          <cell r="N322" t="str">
            <v>Own</v>
          </cell>
          <cell r="P322" t="str">
            <v>High Qualif/Self Emp/Mgmt</v>
          </cell>
          <cell r="S322" t="str">
            <v>Yes</v>
          </cell>
        </row>
        <row r="323">
          <cell r="C323" t="str">
            <v>Existing Paid</v>
          </cell>
          <cell r="D323" t="str">
            <v>Radio/Tv</v>
          </cell>
          <cell r="E323">
            <v>213180</v>
          </cell>
          <cell r="F323" t="str">
            <v>Less than 10000</v>
          </cell>
          <cell r="G323" t="str">
            <v>Below 1Years</v>
          </cell>
          <cell r="I323" t="str">
            <v>Male</v>
          </cell>
          <cell r="N323" t="str">
            <v>Own</v>
          </cell>
          <cell r="P323" t="str">
            <v>Skilled</v>
          </cell>
          <cell r="S323" t="str">
            <v>Yes</v>
          </cell>
        </row>
        <row r="324">
          <cell r="C324" t="str">
            <v>Existing Paid</v>
          </cell>
          <cell r="D324" t="str">
            <v>Used Car</v>
          </cell>
          <cell r="E324">
            <v>320100</v>
          </cell>
          <cell r="F324" t="str">
            <v>Less than 10000</v>
          </cell>
          <cell r="G324" t="str">
            <v>4-6 Years</v>
          </cell>
          <cell r="I324" t="str">
            <v>Male</v>
          </cell>
          <cell r="N324" t="str">
            <v>For Free</v>
          </cell>
          <cell r="P324" t="str">
            <v>High Qualif/Self Emp/Mgmt</v>
          </cell>
          <cell r="S324" t="str">
            <v>Yes</v>
          </cell>
        </row>
        <row r="325">
          <cell r="C325" t="str">
            <v>Existing Paid</v>
          </cell>
          <cell r="D325" t="str">
            <v>Furniture/Equipment</v>
          </cell>
          <cell r="E325">
            <v>292490</v>
          </cell>
          <cell r="F325" t="str">
            <v>1,00000 or Above</v>
          </cell>
          <cell r="G325" t="str">
            <v>1-4 Years</v>
          </cell>
          <cell r="I325" t="str">
            <v>Male</v>
          </cell>
          <cell r="N325" t="str">
            <v>Own</v>
          </cell>
          <cell r="P325" t="str">
            <v>Skilled</v>
          </cell>
          <cell r="S325" t="str">
            <v>Yes</v>
          </cell>
        </row>
        <row r="326">
          <cell r="C326" t="str">
            <v>Critical/Other Existing Credit</v>
          </cell>
          <cell r="D326" t="str">
            <v>New Car</v>
          </cell>
          <cell r="E326">
            <v>113080</v>
          </cell>
          <cell r="F326" t="str">
            <v>Less than 10000</v>
          </cell>
          <cell r="G326" t="str">
            <v>1-4 Years</v>
          </cell>
          <cell r="I326" t="str">
            <v>Female</v>
          </cell>
          <cell r="N326" t="str">
            <v>Own</v>
          </cell>
          <cell r="P326" t="str">
            <v>Skilled</v>
          </cell>
          <cell r="S326" t="str">
            <v>Yes</v>
          </cell>
        </row>
        <row r="327">
          <cell r="C327" t="str">
            <v>Critical/Other Existing Credit</v>
          </cell>
          <cell r="D327" t="str">
            <v>New Car</v>
          </cell>
          <cell r="E327">
            <v>373780</v>
          </cell>
          <cell r="F327" t="str">
            <v>Less than 10000</v>
          </cell>
          <cell r="G327" t="str">
            <v>4-6 Years</v>
          </cell>
          <cell r="I327" t="str">
            <v>Male</v>
          </cell>
          <cell r="N327" t="str">
            <v>Own</v>
          </cell>
          <cell r="P327" t="str">
            <v>Unskilled Resident</v>
          </cell>
          <cell r="S327" t="str">
            <v>No</v>
          </cell>
        </row>
        <row r="328">
          <cell r="C328" t="str">
            <v>Critical/Other Existing Credit</v>
          </cell>
          <cell r="D328" t="str">
            <v>Furniture/Equipment</v>
          </cell>
          <cell r="E328">
            <v>638110</v>
          </cell>
          <cell r="F328" t="str">
            <v>No Savings</v>
          </cell>
          <cell r="G328" t="str">
            <v>7 Years</v>
          </cell>
          <cell r="I328" t="str">
            <v>Male</v>
          </cell>
          <cell r="N328" t="str">
            <v>Rent</v>
          </cell>
          <cell r="P328" t="str">
            <v>Skilled</v>
          </cell>
          <cell r="S328" t="str">
            <v>Yes</v>
          </cell>
        </row>
        <row r="329">
          <cell r="C329" t="str">
            <v>Existing Paid</v>
          </cell>
          <cell r="D329" t="str">
            <v>New Car</v>
          </cell>
          <cell r="E329">
            <v>167750</v>
          </cell>
          <cell r="F329" t="str">
            <v>1,00000 or Above</v>
          </cell>
          <cell r="G329" t="str">
            <v>4-6 Years</v>
          </cell>
          <cell r="I329" t="str">
            <v>Female</v>
          </cell>
          <cell r="N329" t="str">
            <v>Own</v>
          </cell>
          <cell r="P329" t="str">
            <v>Skilled</v>
          </cell>
          <cell r="S329" t="str">
            <v>Yes</v>
          </cell>
        </row>
        <row r="330">
          <cell r="C330" t="str">
            <v>Existing Paid</v>
          </cell>
          <cell r="D330" t="str">
            <v>Radio/Tv</v>
          </cell>
          <cell r="E330">
            <v>492030</v>
          </cell>
          <cell r="F330" t="str">
            <v>Less than 10000</v>
          </cell>
          <cell r="G330" t="str">
            <v>7 Years</v>
          </cell>
          <cell r="I330" t="str">
            <v>Male</v>
          </cell>
          <cell r="N330" t="str">
            <v>Own</v>
          </cell>
          <cell r="P330" t="str">
            <v>Skilled</v>
          </cell>
          <cell r="S330" t="str">
            <v>Yes</v>
          </cell>
        </row>
        <row r="331">
          <cell r="C331" t="str">
            <v>Existing Paid</v>
          </cell>
          <cell r="D331" t="str">
            <v>Radio/Tv</v>
          </cell>
          <cell r="E331">
            <v>117480</v>
          </cell>
          <cell r="F331" t="str">
            <v>Less than 10000</v>
          </cell>
          <cell r="G331" t="str">
            <v>7 Years</v>
          </cell>
          <cell r="I331" t="str">
            <v>Male</v>
          </cell>
          <cell r="N331" t="str">
            <v>Own</v>
          </cell>
          <cell r="P331" t="str">
            <v>Skilled</v>
          </cell>
          <cell r="S331" t="str">
            <v>Yes</v>
          </cell>
        </row>
        <row r="332">
          <cell r="C332" t="str">
            <v>Critical/Other Existing Credit</v>
          </cell>
          <cell r="D332" t="str">
            <v>Used Car</v>
          </cell>
          <cell r="E332">
            <v>727650</v>
          </cell>
          <cell r="F332" t="str">
            <v>Less than 10000</v>
          </cell>
          <cell r="G332" t="str">
            <v>Unemployed</v>
          </cell>
          <cell r="I332" t="str">
            <v>Male</v>
          </cell>
          <cell r="N332" t="str">
            <v>For Free</v>
          </cell>
          <cell r="P332" t="str">
            <v>High Qualif/Self Emp/Mgmt</v>
          </cell>
          <cell r="S332" t="str">
            <v>Yes</v>
          </cell>
        </row>
        <row r="333">
          <cell r="C333" t="str">
            <v>Critical/Other Existing Credit</v>
          </cell>
          <cell r="D333" t="str">
            <v>Education</v>
          </cell>
          <cell r="E333">
            <v>205040</v>
          </cell>
          <cell r="F333" t="str">
            <v>10000 - 49999</v>
          </cell>
          <cell r="G333" t="str">
            <v>1-4 Years</v>
          </cell>
          <cell r="I333" t="str">
            <v>Female</v>
          </cell>
          <cell r="N333" t="str">
            <v>Own</v>
          </cell>
          <cell r="P333" t="str">
            <v>Skilled</v>
          </cell>
          <cell r="S333" t="str">
            <v>Yes</v>
          </cell>
        </row>
        <row r="334">
          <cell r="C334" t="str">
            <v>Existing Paid</v>
          </cell>
          <cell r="D334" t="str">
            <v>New Car</v>
          </cell>
          <cell r="E334">
            <v>814880</v>
          </cell>
          <cell r="F334" t="str">
            <v>10000 - 49999</v>
          </cell>
          <cell r="G334" t="str">
            <v>Below 1Years</v>
          </cell>
          <cell r="I334" t="str">
            <v>Female</v>
          </cell>
          <cell r="N334" t="str">
            <v>Own</v>
          </cell>
          <cell r="P334" t="str">
            <v>High Qualif/Self Emp/Mgmt</v>
          </cell>
          <cell r="S334" t="str">
            <v>Yes</v>
          </cell>
        </row>
        <row r="335">
          <cell r="C335" t="str">
            <v>Critical/Other Existing Credit</v>
          </cell>
          <cell r="D335" t="str">
            <v>Used Car</v>
          </cell>
          <cell r="E335">
            <v>1274900</v>
          </cell>
          <cell r="F335" t="str">
            <v>10000 - 49999</v>
          </cell>
          <cell r="G335" t="str">
            <v>1-4 Years</v>
          </cell>
          <cell r="I335" t="str">
            <v>Female</v>
          </cell>
          <cell r="N335" t="str">
            <v>Rent</v>
          </cell>
          <cell r="P335" t="str">
            <v>Unskilled Resident</v>
          </cell>
          <cell r="S335" t="str">
            <v>Yes</v>
          </cell>
        </row>
        <row r="336">
          <cell r="C336" t="str">
            <v>No Credits/All Paid</v>
          </cell>
          <cell r="D336" t="str">
            <v>Furniture/Equipment</v>
          </cell>
          <cell r="E336">
            <v>452100</v>
          </cell>
          <cell r="F336" t="str">
            <v>Less than 10000</v>
          </cell>
          <cell r="G336" t="str">
            <v>7 Years</v>
          </cell>
          <cell r="I336" t="str">
            <v>Male</v>
          </cell>
          <cell r="N336" t="str">
            <v>Rent</v>
          </cell>
          <cell r="P336" t="str">
            <v>Skilled</v>
          </cell>
          <cell r="S336" t="str">
            <v>Yes</v>
          </cell>
        </row>
        <row r="337">
          <cell r="C337" t="str">
            <v>Critical/Other Existing Credit</v>
          </cell>
          <cell r="D337" t="str">
            <v>Furniture/Equipment</v>
          </cell>
          <cell r="E337">
            <v>372240</v>
          </cell>
          <cell r="F337" t="str">
            <v>Less than 10000</v>
          </cell>
          <cell r="G337" t="str">
            <v>1-4 Years</v>
          </cell>
          <cell r="I337" t="str">
            <v>Male</v>
          </cell>
          <cell r="N337" t="str">
            <v>Rent</v>
          </cell>
          <cell r="P337" t="str">
            <v>High Qualif/Self Emp/Mgmt</v>
          </cell>
          <cell r="S337" t="str">
            <v>Yes</v>
          </cell>
        </row>
        <row r="338">
          <cell r="C338" t="str">
            <v>Existing Paid</v>
          </cell>
          <cell r="D338" t="str">
            <v>Radio/Tv</v>
          </cell>
          <cell r="E338">
            <v>231110</v>
          </cell>
          <cell r="F338" t="str">
            <v>Less than 10000</v>
          </cell>
          <cell r="G338" t="str">
            <v>Below 1Years</v>
          </cell>
          <cell r="I338" t="str">
            <v>Female</v>
          </cell>
          <cell r="N338" t="str">
            <v>Own</v>
          </cell>
          <cell r="P338" t="str">
            <v>Unskilled Resident</v>
          </cell>
          <cell r="S338" t="str">
            <v>Yes</v>
          </cell>
        </row>
        <row r="339">
          <cell r="C339" t="str">
            <v>Existing Paid</v>
          </cell>
          <cell r="D339" t="str">
            <v>Domestic Appliance</v>
          </cell>
          <cell r="E339">
            <v>140250</v>
          </cell>
          <cell r="F339" t="str">
            <v>No Savings</v>
          </cell>
          <cell r="G339" t="str">
            <v>1-4 Years</v>
          </cell>
          <cell r="I339" t="str">
            <v>Female</v>
          </cell>
          <cell r="N339" t="str">
            <v>Rent</v>
          </cell>
          <cell r="P339" t="str">
            <v>Skilled</v>
          </cell>
          <cell r="S339" t="str">
            <v>Yes</v>
          </cell>
        </row>
        <row r="340">
          <cell r="C340" t="str">
            <v>Existing Paid</v>
          </cell>
          <cell r="D340" t="str">
            <v>Furniture/Equipment</v>
          </cell>
          <cell r="E340">
            <v>458590</v>
          </cell>
          <cell r="F340" t="str">
            <v>Less than 10000</v>
          </cell>
          <cell r="G340" t="str">
            <v>1-4 Years</v>
          </cell>
          <cell r="I340" t="str">
            <v>Male</v>
          </cell>
          <cell r="N340" t="str">
            <v>Own</v>
          </cell>
          <cell r="P340" t="str">
            <v>Skilled</v>
          </cell>
          <cell r="S340" t="str">
            <v>Yes</v>
          </cell>
        </row>
        <row r="341">
          <cell r="C341" t="str">
            <v>Existing Paid</v>
          </cell>
          <cell r="D341" t="str">
            <v>Furniture/Equipment</v>
          </cell>
          <cell r="E341">
            <v>167310</v>
          </cell>
          <cell r="F341" t="str">
            <v>Less than 10000</v>
          </cell>
          <cell r="G341" t="str">
            <v>1-4 Years</v>
          </cell>
          <cell r="I341" t="str">
            <v>Male</v>
          </cell>
          <cell r="N341" t="str">
            <v>Own</v>
          </cell>
          <cell r="P341" t="str">
            <v>Unskilled Resident</v>
          </cell>
          <cell r="S341" t="str">
            <v>Yes</v>
          </cell>
        </row>
        <row r="342">
          <cell r="C342" t="str">
            <v>Critical/Other Existing Credit</v>
          </cell>
          <cell r="D342" t="str">
            <v>Education</v>
          </cell>
          <cell r="E342">
            <v>631730</v>
          </cell>
          <cell r="F342" t="str">
            <v>Less than 10000</v>
          </cell>
          <cell r="G342" t="str">
            <v>Below 1Years</v>
          </cell>
          <cell r="I342" t="str">
            <v>Female</v>
          </cell>
          <cell r="N342" t="str">
            <v>For Free</v>
          </cell>
          <cell r="P342" t="str">
            <v>Skilled</v>
          </cell>
          <cell r="S342" t="str">
            <v>Yes</v>
          </cell>
        </row>
        <row r="343">
          <cell r="C343" t="str">
            <v>Existing Paid</v>
          </cell>
          <cell r="D343" t="str">
            <v>Furniture/Equipment</v>
          </cell>
          <cell r="E343">
            <v>395890</v>
          </cell>
          <cell r="F343" t="str">
            <v>Less than 10000</v>
          </cell>
          <cell r="G343" t="str">
            <v>4-6 Years</v>
          </cell>
          <cell r="I343" t="str">
            <v>Female</v>
          </cell>
          <cell r="N343" t="str">
            <v>Rent</v>
          </cell>
          <cell r="P343" t="str">
            <v>Unskilled Resident</v>
          </cell>
          <cell r="S343" t="str">
            <v>Yes</v>
          </cell>
        </row>
        <row r="344">
          <cell r="C344" t="str">
            <v>Existing Paid</v>
          </cell>
          <cell r="D344" t="str">
            <v>Radio/Tv</v>
          </cell>
          <cell r="E344">
            <v>353430</v>
          </cell>
          <cell r="F344" t="str">
            <v>50000 - 99999</v>
          </cell>
          <cell r="G344" t="str">
            <v>Below 1Years</v>
          </cell>
          <cell r="I344" t="str">
            <v>Male</v>
          </cell>
          <cell r="N344" t="str">
            <v>Rent</v>
          </cell>
          <cell r="P344" t="str">
            <v>Skilled</v>
          </cell>
          <cell r="S344" t="str">
            <v>Yes</v>
          </cell>
        </row>
        <row r="345">
          <cell r="C345" t="str">
            <v>Existing Paid</v>
          </cell>
          <cell r="D345" t="str">
            <v>Business</v>
          </cell>
          <cell r="E345">
            <v>488290</v>
          </cell>
          <cell r="F345" t="str">
            <v>Less than 10000</v>
          </cell>
          <cell r="G345" t="str">
            <v>7 Years</v>
          </cell>
          <cell r="I345" t="str">
            <v>Male</v>
          </cell>
          <cell r="N345" t="str">
            <v>Own</v>
          </cell>
          <cell r="P345" t="str">
            <v>High Qualif/Self Emp/Mgmt</v>
          </cell>
          <cell r="S345" t="str">
            <v>Yes</v>
          </cell>
        </row>
        <row r="346">
          <cell r="C346" t="str">
            <v>Existing Paid</v>
          </cell>
          <cell r="D346" t="str">
            <v>New Car</v>
          </cell>
          <cell r="E346">
            <v>434390</v>
          </cell>
          <cell r="F346" t="str">
            <v>Less than 10000</v>
          </cell>
          <cell r="G346" t="str">
            <v>Below 1Years</v>
          </cell>
          <cell r="I346" t="str">
            <v>Male</v>
          </cell>
          <cell r="N346" t="str">
            <v>Own</v>
          </cell>
          <cell r="P346" t="str">
            <v>Unskilled Resident</v>
          </cell>
          <cell r="S346" t="str">
            <v>Yes</v>
          </cell>
        </row>
        <row r="347">
          <cell r="C347" t="str">
            <v>Critical/Other Existing Credit</v>
          </cell>
          <cell r="D347" t="str">
            <v>Radio/Tv</v>
          </cell>
          <cell r="E347">
            <v>160490</v>
          </cell>
          <cell r="F347" t="str">
            <v>Less than 10000</v>
          </cell>
          <cell r="G347" t="str">
            <v>1-4 Years</v>
          </cell>
          <cell r="I347" t="str">
            <v>Female</v>
          </cell>
          <cell r="N347" t="str">
            <v>Own</v>
          </cell>
          <cell r="P347" t="str">
            <v>Unskilled Resident</v>
          </cell>
          <cell r="S347" t="str">
            <v>Yes</v>
          </cell>
        </row>
        <row r="348">
          <cell r="C348" t="str">
            <v>Critical/Other Existing Credit</v>
          </cell>
          <cell r="D348" t="str">
            <v>Radio/Tv</v>
          </cell>
          <cell r="E348">
            <v>97020</v>
          </cell>
          <cell r="F348" t="str">
            <v>Less than 10000</v>
          </cell>
          <cell r="G348" t="str">
            <v>Below 1Years</v>
          </cell>
          <cell r="I348" t="str">
            <v>Male</v>
          </cell>
          <cell r="N348" t="str">
            <v>Own</v>
          </cell>
          <cell r="P348" t="str">
            <v>Skilled</v>
          </cell>
          <cell r="S348" t="str">
            <v>Yes</v>
          </cell>
        </row>
        <row r="349">
          <cell r="C349" t="str">
            <v>Existing Paid</v>
          </cell>
          <cell r="D349" t="str">
            <v>Radio/Tv</v>
          </cell>
          <cell r="E349">
            <v>413380</v>
          </cell>
          <cell r="F349" t="str">
            <v>50000 - 99999</v>
          </cell>
          <cell r="G349" t="str">
            <v>Unemployed</v>
          </cell>
          <cell r="I349" t="str">
            <v>Female</v>
          </cell>
          <cell r="N349" t="str">
            <v>Rent</v>
          </cell>
          <cell r="P349" t="str">
            <v>Unemp/Unskilled Non Res</v>
          </cell>
          <cell r="S349" t="str">
            <v>Yes</v>
          </cell>
        </row>
        <row r="350">
          <cell r="C350" t="str">
            <v>Delayed Previously</v>
          </cell>
          <cell r="D350" t="str">
            <v>Business</v>
          </cell>
          <cell r="E350">
            <v>191730</v>
          </cell>
          <cell r="F350" t="str">
            <v>10000 - 49999</v>
          </cell>
          <cell r="G350" t="str">
            <v>1-4 Years</v>
          </cell>
          <cell r="I350" t="str">
            <v>Male</v>
          </cell>
          <cell r="N350" t="str">
            <v>Own</v>
          </cell>
          <cell r="P350" t="str">
            <v>Unskilled Resident</v>
          </cell>
          <cell r="S350" t="str">
            <v>Yes</v>
          </cell>
        </row>
        <row r="351">
          <cell r="C351" t="str">
            <v>Critical/Other Existing Credit</v>
          </cell>
          <cell r="D351" t="str">
            <v>Education</v>
          </cell>
          <cell r="E351">
            <v>124960</v>
          </cell>
          <cell r="F351" t="str">
            <v>1,00000 or Above</v>
          </cell>
          <cell r="G351" t="str">
            <v>7 Years</v>
          </cell>
          <cell r="I351" t="str">
            <v>Male</v>
          </cell>
          <cell r="N351" t="str">
            <v>For Free</v>
          </cell>
          <cell r="P351" t="str">
            <v>Skilled</v>
          </cell>
          <cell r="S351" t="str">
            <v>Yes</v>
          </cell>
        </row>
        <row r="352">
          <cell r="C352" t="str">
            <v>Existing Paid</v>
          </cell>
          <cell r="D352" t="str">
            <v>Domestic Appliance</v>
          </cell>
          <cell r="E352">
            <v>135960</v>
          </cell>
          <cell r="F352" t="str">
            <v>Less than 10000</v>
          </cell>
          <cell r="G352" t="str">
            <v>Below 1Years</v>
          </cell>
          <cell r="I352" t="str">
            <v>Female</v>
          </cell>
          <cell r="N352" t="str">
            <v>Rent</v>
          </cell>
          <cell r="P352" t="str">
            <v>Skilled</v>
          </cell>
          <cell r="S352" t="str">
            <v>Yes</v>
          </cell>
        </row>
        <row r="353">
          <cell r="C353" t="str">
            <v>Existing Paid</v>
          </cell>
          <cell r="D353" t="str">
            <v>Furniture/Equipment</v>
          </cell>
          <cell r="E353">
            <v>105490</v>
          </cell>
          <cell r="F353" t="str">
            <v>Less than 10000</v>
          </cell>
          <cell r="G353" t="str">
            <v>1-4 Years</v>
          </cell>
          <cell r="I353" t="str">
            <v>Female</v>
          </cell>
          <cell r="N353" t="str">
            <v>Own</v>
          </cell>
          <cell r="P353" t="str">
            <v>Skilled</v>
          </cell>
          <cell r="S353" t="str">
            <v>No</v>
          </cell>
        </row>
        <row r="354">
          <cell r="C354" t="str">
            <v>Critical/Other Existing Credit</v>
          </cell>
          <cell r="D354" t="str">
            <v>Used Car</v>
          </cell>
          <cell r="E354">
            <v>355190</v>
          </cell>
          <cell r="F354" t="str">
            <v>No Savings</v>
          </cell>
          <cell r="G354" t="str">
            <v>Unemployed</v>
          </cell>
          <cell r="I354" t="str">
            <v>Male</v>
          </cell>
          <cell r="N354" t="str">
            <v>Own</v>
          </cell>
          <cell r="P354" t="str">
            <v>High Qualif/Self Emp/Mgmt</v>
          </cell>
          <cell r="S354" t="str">
            <v>Yes</v>
          </cell>
        </row>
        <row r="355">
          <cell r="C355" t="str">
            <v>No Credits/All Paid</v>
          </cell>
          <cell r="D355" t="str">
            <v>Radio/Tv</v>
          </cell>
          <cell r="E355">
            <v>681890</v>
          </cell>
          <cell r="F355" t="str">
            <v>Less than 10000</v>
          </cell>
          <cell r="G355" t="str">
            <v>1-4 Years</v>
          </cell>
          <cell r="I355" t="str">
            <v>Male</v>
          </cell>
          <cell r="N355" t="str">
            <v>Rent</v>
          </cell>
          <cell r="P355" t="str">
            <v>Skilled</v>
          </cell>
          <cell r="S355" t="str">
            <v>Yes</v>
          </cell>
        </row>
        <row r="356">
          <cell r="C356" t="str">
            <v>Existing Paid</v>
          </cell>
          <cell r="D356" t="str">
            <v>Education</v>
          </cell>
          <cell r="E356">
            <v>79970</v>
          </cell>
          <cell r="F356" t="str">
            <v>50000 - 99999</v>
          </cell>
          <cell r="G356" t="str">
            <v>7 Years</v>
          </cell>
          <cell r="I356" t="str">
            <v>Male</v>
          </cell>
          <cell r="N356" t="str">
            <v>For Free</v>
          </cell>
          <cell r="P356" t="str">
            <v>Skilled</v>
          </cell>
          <cell r="S356" t="str">
            <v>Yes</v>
          </cell>
        </row>
        <row r="357">
          <cell r="C357" t="str">
            <v>Existing Paid</v>
          </cell>
          <cell r="D357" t="str">
            <v>New Car</v>
          </cell>
          <cell r="E357">
            <v>137060</v>
          </cell>
          <cell r="F357" t="str">
            <v>Less than 10000</v>
          </cell>
          <cell r="G357" t="str">
            <v>Below 1Years</v>
          </cell>
          <cell r="I357" t="str">
            <v>Male</v>
          </cell>
          <cell r="N357" t="str">
            <v>Own</v>
          </cell>
          <cell r="P357" t="str">
            <v>Unskilled Resident</v>
          </cell>
          <cell r="S357" t="str">
            <v>Yes</v>
          </cell>
        </row>
        <row r="358">
          <cell r="C358" t="str">
            <v>Critical/Other Existing Credit</v>
          </cell>
          <cell r="D358" t="str">
            <v>Radio/Tv</v>
          </cell>
          <cell r="E358">
            <v>256410</v>
          </cell>
          <cell r="F358" t="str">
            <v>No Savings</v>
          </cell>
          <cell r="G358" t="str">
            <v>7 Years</v>
          </cell>
          <cell r="I358" t="str">
            <v>Male</v>
          </cell>
          <cell r="N358" t="str">
            <v>Own</v>
          </cell>
          <cell r="P358" t="str">
            <v>Skilled</v>
          </cell>
          <cell r="S358" t="str">
            <v>Yes</v>
          </cell>
        </row>
        <row r="359">
          <cell r="C359" t="str">
            <v>Delayed Previously</v>
          </cell>
          <cell r="D359" t="str">
            <v>Radio/Tv</v>
          </cell>
          <cell r="E359">
            <v>490930</v>
          </cell>
          <cell r="F359" t="str">
            <v>Less than 10000</v>
          </cell>
          <cell r="G359" t="str">
            <v>1-4 Years</v>
          </cell>
          <cell r="I359" t="str">
            <v>Male</v>
          </cell>
          <cell r="N359" t="str">
            <v>Own</v>
          </cell>
          <cell r="P359" t="str">
            <v>High Qualif/Self Emp/Mgmt</v>
          </cell>
          <cell r="S359" t="str">
            <v>Yes</v>
          </cell>
        </row>
        <row r="360">
          <cell r="C360" t="str">
            <v>Existing Paid</v>
          </cell>
          <cell r="D360" t="str">
            <v>Radio/Tv</v>
          </cell>
          <cell r="E360">
            <v>85360</v>
          </cell>
          <cell r="F360" t="str">
            <v>Less than 10000</v>
          </cell>
          <cell r="G360" t="str">
            <v>1-4 Years</v>
          </cell>
          <cell r="I360" t="str">
            <v>Male</v>
          </cell>
          <cell r="N360" t="str">
            <v>Own</v>
          </cell>
          <cell r="P360" t="str">
            <v>Skilled</v>
          </cell>
          <cell r="S360" t="str">
            <v>Yes</v>
          </cell>
        </row>
        <row r="361">
          <cell r="C361" t="str">
            <v>Existing Paid</v>
          </cell>
          <cell r="D361" t="str">
            <v>Furniture/Equipment</v>
          </cell>
          <cell r="E361">
            <v>264660</v>
          </cell>
          <cell r="F361" t="str">
            <v>Less than 10000</v>
          </cell>
          <cell r="G361" t="str">
            <v>4-6 Years</v>
          </cell>
          <cell r="I361" t="str">
            <v>Female</v>
          </cell>
          <cell r="N361" t="str">
            <v>Rent</v>
          </cell>
          <cell r="P361" t="str">
            <v>Skilled</v>
          </cell>
          <cell r="S361" t="str">
            <v>Yes</v>
          </cell>
        </row>
        <row r="362">
          <cell r="C362" t="str">
            <v>Existing Paid</v>
          </cell>
          <cell r="D362" t="str">
            <v>Education</v>
          </cell>
          <cell r="E362">
            <v>136290</v>
          </cell>
          <cell r="F362" t="str">
            <v>No Savings</v>
          </cell>
          <cell r="G362" t="str">
            <v>1-4 Years</v>
          </cell>
          <cell r="I362" t="str">
            <v>Male</v>
          </cell>
          <cell r="N362" t="str">
            <v>For Free</v>
          </cell>
          <cell r="P362" t="str">
            <v>Skilled</v>
          </cell>
          <cell r="S362" t="str">
            <v>Yes</v>
          </cell>
        </row>
        <row r="363">
          <cell r="C363" t="str">
            <v>Existing Paid</v>
          </cell>
          <cell r="D363" t="str">
            <v>Radio/Tv</v>
          </cell>
          <cell r="E363">
            <v>373890</v>
          </cell>
          <cell r="F363" t="str">
            <v>No Savings</v>
          </cell>
          <cell r="G363" t="str">
            <v>7 Years</v>
          </cell>
          <cell r="I363" t="str">
            <v>Male</v>
          </cell>
          <cell r="N363" t="str">
            <v>Own</v>
          </cell>
          <cell r="P363" t="str">
            <v>High Qualif/Self Emp/Mgmt</v>
          </cell>
          <cell r="S363" t="str">
            <v>Yes</v>
          </cell>
        </row>
        <row r="364">
          <cell r="C364" t="str">
            <v>Delayed Previously</v>
          </cell>
          <cell r="D364" t="str">
            <v>New Car</v>
          </cell>
          <cell r="E364">
            <v>247170</v>
          </cell>
          <cell r="F364" t="str">
            <v>Less than 10000</v>
          </cell>
          <cell r="G364" t="str">
            <v>1-4 Years</v>
          </cell>
          <cell r="I364" t="str">
            <v>Female</v>
          </cell>
          <cell r="N364" t="str">
            <v>Own</v>
          </cell>
          <cell r="P364" t="str">
            <v>Skilled</v>
          </cell>
          <cell r="S364" t="str">
            <v>Yes</v>
          </cell>
        </row>
        <row r="365">
          <cell r="C365" t="str">
            <v>Existing Paid</v>
          </cell>
          <cell r="D365" t="str">
            <v>Furniture/Equipment</v>
          </cell>
          <cell r="E365">
            <v>194260</v>
          </cell>
          <cell r="F365" t="str">
            <v>Less than 10000</v>
          </cell>
          <cell r="G365" t="str">
            <v>1-4 Years</v>
          </cell>
          <cell r="I365" t="str">
            <v>Male</v>
          </cell>
          <cell r="N365" t="str">
            <v>Rent</v>
          </cell>
          <cell r="P365" t="str">
            <v>Skilled</v>
          </cell>
          <cell r="S365" t="str">
            <v>Yes</v>
          </cell>
        </row>
        <row r="366">
          <cell r="C366" t="str">
            <v>Existing Paid</v>
          </cell>
          <cell r="D366" t="str">
            <v>Furniture/Equipment</v>
          </cell>
          <cell r="E366">
            <v>272030</v>
          </cell>
          <cell r="F366" t="str">
            <v>Less than 10000</v>
          </cell>
          <cell r="G366" t="str">
            <v>Unemployed</v>
          </cell>
          <cell r="I366" t="str">
            <v>Male</v>
          </cell>
          <cell r="N366" t="str">
            <v>Own</v>
          </cell>
          <cell r="P366" t="str">
            <v>Unemp/Unskilled Non Res</v>
          </cell>
          <cell r="S366" t="str">
            <v>Yes</v>
          </cell>
        </row>
        <row r="367">
          <cell r="C367" t="str">
            <v>Existing Paid</v>
          </cell>
          <cell r="D367" t="str">
            <v>Business</v>
          </cell>
          <cell r="E367">
            <v>169620</v>
          </cell>
          <cell r="F367" t="str">
            <v>Less than 10000</v>
          </cell>
          <cell r="G367" t="str">
            <v>4-6 Years</v>
          </cell>
          <cell r="I367" t="str">
            <v>Male</v>
          </cell>
          <cell r="N367" t="str">
            <v>Own</v>
          </cell>
          <cell r="P367" t="str">
            <v>Skilled</v>
          </cell>
          <cell r="S367" t="str">
            <v>Yes</v>
          </cell>
        </row>
        <row r="368">
          <cell r="C368" t="str">
            <v>Critical/Other Existing Credit</v>
          </cell>
          <cell r="D368" t="str">
            <v>Used Car</v>
          </cell>
          <cell r="E368">
            <v>423500</v>
          </cell>
          <cell r="F368" t="str">
            <v>Less than 10000</v>
          </cell>
          <cell r="G368" t="str">
            <v>4-6 Years</v>
          </cell>
          <cell r="I368" t="str">
            <v>Male</v>
          </cell>
          <cell r="N368" t="str">
            <v>Own</v>
          </cell>
          <cell r="P368" t="str">
            <v>Skilled</v>
          </cell>
          <cell r="S368" t="str">
            <v>Yes</v>
          </cell>
        </row>
        <row r="369">
          <cell r="C369" t="str">
            <v>Existing Paid</v>
          </cell>
          <cell r="D369" t="str">
            <v>Furniture/Equipment</v>
          </cell>
          <cell r="E369">
            <v>401500</v>
          </cell>
          <cell r="F369" t="str">
            <v>Less than 10000</v>
          </cell>
          <cell r="G369" t="str">
            <v>Below 1Years</v>
          </cell>
          <cell r="I369" t="str">
            <v>Female</v>
          </cell>
          <cell r="N369" t="str">
            <v>Rent</v>
          </cell>
          <cell r="P369" t="str">
            <v>Skilled</v>
          </cell>
          <cell r="S369" t="str">
            <v>Yes</v>
          </cell>
        </row>
        <row r="370">
          <cell r="C370" t="str">
            <v>Existing Paid</v>
          </cell>
          <cell r="D370" t="str">
            <v>Furniture/Equipment</v>
          </cell>
          <cell r="E370">
            <v>379060</v>
          </cell>
          <cell r="F370" t="str">
            <v>Less than 10000</v>
          </cell>
          <cell r="G370" t="str">
            <v>7 Years</v>
          </cell>
          <cell r="I370" t="str">
            <v>Male</v>
          </cell>
          <cell r="N370" t="str">
            <v>Own</v>
          </cell>
          <cell r="P370" t="str">
            <v>Skilled</v>
          </cell>
          <cell r="S370" t="str">
            <v>Yes</v>
          </cell>
        </row>
        <row r="371">
          <cell r="C371" t="str">
            <v>Existing Paid</v>
          </cell>
          <cell r="D371" t="str">
            <v>Furniture/Equipment</v>
          </cell>
          <cell r="E371">
            <v>330110</v>
          </cell>
          <cell r="F371" t="str">
            <v>Less than 10000</v>
          </cell>
          <cell r="G371" t="str">
            <v>4-6 Years</v>
          </cell>
          <cell r="I371" t="str">
            <v>Female</v>
          </cell>
          <cell r="N371" t="str">
            <v>Rent</v>
          </cell>
          <cell r="P371" t="str">
            <v>Skilled</v>
          </cell>
          <cell r="S371" t="str">
            <v>Yes</v>
          </cell>
        </row>
        <row r="372">
          <cell r="C372" t="str">
            <v>Existing Paid</v>
          </cell>
          <cell r="D372" t="str">
            <v>New Car</v>
          </cell>
          <cell r="E372">
            <v>338690</v>
          </cell>
          <cell r="F372" t="str">
            <v>No Savings</v>
          </cell>
          <cell r="G372" t="str">
            <v>1-4 Years</v>
          </cell>
          <cell r="I372" t="str">
            <v>Male</v>
          </cell>
          <cell r="N372" t="str">
            <v>Own</v>
          </cell>
          <cell r="P372" t="str">
            <v>Skilled</v>
          </cell>
          <cell r="S372" t="str">
            <v>Yes</v>
          </cell>
        </row>
        <row r="373">
          <cell r="C373" t="str">
            <v>Critical/Other Existing Credit</v>
          </cell>
          <cell r="D373" t="str">
            <v>Radio/Tv</v>
          </cell>
          <cell r="E373">
            <v>667700</v>
          </cell>
          <cell r="F373" t="str">
            <v>Less than 10000</v>
          </cell>
          <cell r="G373" t="str">
            <v>7 Years</v>
          </cell>
          <cell r="I373" t="str">
            <v>Male</v>
          </cell>
          <cell r="N373" t="str">
            <v>Own</v>
          </cell>
          <cell r="P373" t="str">
            <v>Skilled</v>
          </cell>
          <cell r="S373" t="str">
            <v>Yes</v>
          </cell>
        </row>
        <row r="374">
          <cell r="C374" t="str">
            <v>Critical/Other Existing Credit</v>
          </cell>
          <cell r="D374" t="str">
            <v>Furniture/Equipment</v>
          </cell>
          <cell r="E374">
            <v>236060</v>
          </cell>
          <cell r="F374" t="str">
            <v>Less than 10000</v>
          </cell>
          <cell r="G374" t="str">
            <v>Below 1Years</v>
          </cell>
          <cell r="I374" t="str">
            <v>Female</v>
          </cell>
          <cell r="N374" t="str">
            <v>Rent</v>
          </cell>
          <cell r="P374" t="str">
            <v>Skilled</v>
          </cell>
          <cell r="S374" t="str">
            <v>Yes</v>
          </cell>
        </row>
        <row r="375">
          <cell r="C375" t="str">
            <v>Critical/Other Existing Credit</v>
          </cell>
          <cell r="D375" t="str">
            <v>New Car</v>
          </cell>
          <cell r="E375">
            <v>1513160</v>
          </cell>
          <cell r="F375" t="str">
            <v>No Savings</v>
          </cell>
          <cell r="G375" t="str">
            <v>7 Years</v>
          </cell>
          <cell r="I375" t="str">
            <v>Male</v>
          </cell>
          <cell r="N375" t="str">
            <v>For Free</v>
          </cell>
          <cell r="P375" t="str">
            <v>High Qualif/Self Emp/Mgmt</v>
          </cell>
          <cell r="S375" t="str">
            <v>Yes</v>
          </cell>
        </row>
        <row r="376">
          <cell r="C376" t="str">
            <v>All Paid</v>
          </cell>
          <cell r="D376" t="str">
            <v>Other</v>
          </cell>
          <cell r="E376">
            <v>1626020</v>
          </cell>
          <cell r="F376" t="str">
            <v>10000 - 49999</v>
          </cell>
          <cell r="G376" t="str">
            <v>7 Years</v>
          </cell>
          <cell r="I376" t="str">
            <v>Female</v>
          </cell>
          <cell r="N376" t="str">
            <v>For Free</v>
          </cell>
          <cell r="P376" t="str">
            <v>High Qualif/Self Emp/Mgmt</v>
          </cell>
          <cell r="S376" t="str">
            <v>Yes</v>
          </cell>
        </row>
        <row r="377">
          <cell r="C377" t="str">
            <v>All Paid</v>
          </cell>
          <cell r="D377" t="str">
            <v>Business</v>
          </cell>
          <cell r="E377">
            <v>845350</v>
          </cell>
          <cell r="F377" t="str">
            <v>Less than 10000</v>
          </cell>
          <cell r="G377" t="str">
            <v>4-6 Years</v>
          </cell>
          <cell r="I377" t="str">
            <v>Female</v>
          </cell>
          <cell r="N377" t="str">
            <v>Rent</v>
          </cell>
          <cell r="P377" t="str">
            <v>Skilled</v>
          </cell>
          <cell r="S377" t="str">
            <v>Yes</v>
          </cell>
        </row>
        <row r="378">
          <cell r="C378" t="str">
            <v>Delayed Previously</v>
          </cell>
          <cell r="D378" t="str">
            <v>Radio/Tv</v>
          </cell>
          <cell r="E378">
            <v>255200</v>
          </cell>
          <cell r="F378" t="str">
            <v>Less than 10000</v>
          </cell>
          <cell r="G378" t="str">
            <v>Unemployed</v>
          </cell>
          <cell r="I378" t="str">
            <v>Male</v>
          </cell>
          <cell r="N378" t="str">
            <v>Own</v>
          </cell>
          <cell r="P378" t="str">
            <v>Skilled</v>
          </cell>
          <cell r="S378" t="str">
            <v>Yes</v>
          </cell>
        </row>
        <row r="379">
          <cell r="C379" t="str">
            <v>Delayed Previously</v>
          </cell>
          <cell r="D379" t="str">
            <v>Radio/Tv</v>
          </cell>
          <cell r="E379">
            <v>93060</v>
          </cell>
          <cell r="F379" t="str">
            <v>No Savings</v>
          </cell>
          <cell r="G379" t="str">
            <v>7 Years</v>
          </cell>
          <cell r="I379" t="str">
            <v>Male</v>
          </cell>
          <cell r="N379" t="str">
            <v>For Free</v>
          </cell>
          <cell r="P379" t="str">
            <v>Skilled</v>
          </cell>
          <cell r="S379" t="str">
            <v>Yes</v>
          </cell>
        </row>
        <row r="380">
          <cell r="C380" t="str">
            <v>Existing Paid</v>
          </cell>
          <cell r="D380" t="str">
            <v>New Car</v>
          </cell>
          <cell r="E380">
            <v>1574980</v>
          </cell>
          <cell r="F380" t="str">
            <v>Less than 10000</v>
          </cell>
          <cell r="G380" t="str">
            <v>7 Years</v>
          </cell>
          <cell r="I380" t="str">
            <v>Male</v>
          </cell>
          <cell r="N380" t="str">
            <v>For Free</v>
          </cell>
          <cell r="P380" t="str">
            <v>High Qualif/Self Emp/Mgmt</v>
          </cell>
          <cell r="S380" t="str">
            <v>Yes</v>
          </cell>
        </row>
        <row r="381">
          <cell r="C381" t="str">
            <v>Critical/Other Existing Credit</v>
          </cell>
          <cell r="D381" t="str">
            <v>New Car</v>
          </cell>
          <cell r="E381">
            <v>39820</v>
          </cell>
          <cell r="F381" t="str">
            <v>10000 - 49999</v>
          </cell>
          <cell r="G381" t="str">
            <v>1-4 Years</v>
          </cell>
          <cell r="I381" t="str">
            <v>Female</v>
          </cell>
          <cell r="N381" t="str">
            <v>Own</v>
          </cell>
          <cell r="P381" t="str">
            <v>Unskilled Resident</v>
          </cell>
          <cell r="S381" t="str">
            <v>Yes</v>
          </cell>
        </row>
        <row r="382">
          <cell r="C382" t="str">
            <v>Existing Paid</v>
          </cell>
          <cell r="D382" t="str">
            <v>Furniture/Equipment</v>
          </cell>
          <cell r="E382">
            <v>243320</v>
          </cell>
          <cell r="F382" t="str">
            <v>No Savings</v>
          </cell>
          <cell r="G382" t="str">
            <v>4-6 Years</v>
          </cell>
          <cell r="I382" t="str">
            <v>Male</v>
          </cell>
          <cell r="N382" t="str">
            <v>Own</v>
          </cell>
          <cell r="P382" t="str">
            <v>Skilled</v>
          </cell>
          <cell r="S382" t="str">
            <v>Yes</v>
          </cell>
        </row>
        <row r="383">
          <cell r="C383" t="str">
            <v>Existing Paid</v>
          </cell>
          <cell r="D383" t="str">
            <v>Used Car</v>
          </cell>
          <cell r="E383">
            <v>1427360</v>
          </cell>
          <cell r="F383" t="str">
            <v>Less than 10000</v>
          </cell>
          <cell r="G383" t="str">
            <v>Unemployed</v>
          </cell>
          <cell r="I383" t="str">
            <v>Female</v>
          </cell>
          <cell r="N383" t="str">
            <v>For Free</v>
          </cell>
          <cell r="P383" t="str">
            <v>High Qualif/Self Emp/Mgmt</v>
          </cell>
          <cell r="S383" t="str">
            <v>Yes</v>
          </cell>
        </row>
        <row r="384">
          <cell r="C384" t="str">
            <v>Existing Paid</v>
          </cell>
          <cell r="D384" t="str">
            <v>New Car</v>
          </cell>
          <cell r="E384">
            <v>141130</v>
          </cell>
          <cell r="F384" t="str">
            <v>No Savings</v>
          </cell>
          <cell r="G384" t="str">
            <v>4-6 Years</v>
          </cell>
          <cell r="I384" t="str">
            <v>Female</v>
          </cell>
          <cell r="N384" t="str">
            <v>Rent</v>
          </cell>
          <cell r="P384" t="str">
            <v>Skilled</v>
          </cell>
          <cell r="S384" t="str">
            <v>Yes</v>
          </cell>
        </row>
        <row r="385">
          <cell r="C385" t="str">
            <v>Existing Paid</v>
          </cell>
          <cell r="D385" t="str">
            <v>New Car</v>
          </cell>
          <cell r="E385">
            <v>146300</v>
          </cell>
          <cell r="F385" t="str">
            <v>Less than 10000</v>
          </cell>
          <cell r="G385" t="str">
            <v>Below 1Years</v>
          </cell>
          <cell r="I385" t="str">
            <v>Male</v>
          </cell>
          <cell r="N385" t="str">
            <v>Own</v>
          </cell>
          <cell r="P385" t="str">
            <v>Skilled</v>
          </cell>
          <cell r="S385" t="str">
            <v>Yes</v>
          </cell>
        </row>
        <row r="386">
          <cell r="C386" t="str">
            <v>Delayed Previously</v>
          </cell>
          <cell r="D386" t="str">
            <v>Business</v>
          </cell>
          <cell r="E386">
            <v>469920</v>
          </cell>
          <cell r="F386" t="str">
            <v>10000 - 49999</v>
          </cell>
          <cell r="G386" t="str">
            <v>1-4 Years</v>
          </cell>
          <cell r="I386" t="str">
            <v>Male</v>
          </cell>
          <cell r="N386" t="str">
            <v>Own</v>
          </cell>
          <cell r="P386" t="str">
            <v>Unskilled Resident</v>
          </cell>
          <cell r="S386" t="str">
            <v>Yes</v>
          </cell>
        </row>
        <row r="387">
          <cell r="C387" t="str">
            <v>Critical/Other Existing Credit</v>
          </cell>
          <cell r="D387" t="str">
            <v>Radio/Tv</v>
          </cell>
          <cell r="E387">
            <v>246180</v>
          </cell>
          <cell r="F387" t="str">
            <v>Less than 10000</v>
          </cell>
          <cell r="G387" t="str">
            <v>1-4 Years</v>
          </cell>
          <cell r="I387" t="str">
            <v>Female</v>
          </cell>
          <cell r="N387" t="str">
            <v>Own</v>
          </cell>
          <cell r="P387" t="str">
            <v>Skilled</v>
          </cell>
          <cell r="S387" t="str">
            <v>Yes</v>
          </cell>
        </row>
        <row r="388">
          <cell r="C388" t="str">
            <v>Existing Paid</v>
          </cell>
          <cell r="D388" t="str">
            <v>Radio/Tv</v>
          </cell>
          <cell r="E388">
            <v>123860</v>
          </cell>
          <cell r="F388" t="str">
            <v>No Savings</v>
          </cell>
          <cell r="G388" t="str">
            <v>Below 1Years</v>
          </cell>
          <cell r="I388" t="str">
            <v>Female</v>
          </cell>
          <cell r="N388" t="str">
            <v>Rent</v>
          </cell>
          <cell r="P388" t="str">
            <v>Skilled</v>
          </cell>
          <cell r="S388" t="str">
            <v>Yes</v>
          </cell>
        </row>
        <row r="389">
          <cell r="C389" t="str">
            <v>Critical/Other Existing Credit</v>
          </cell>
          <cell r="D389" t="str">
            <v>Furniture/Equipment</v>
          </cell>
          <cell r="E389">
            <v>811140</v>
          </cell>
          <cell r="F389" t="str">
            <v>Less than 10000</v>
          </cell>
          <cell r="G389" t="str">
            <v>Unemployed</v>
          </cell>
          <cell r="I389" t="str">
            <v>Male</v>
          </cell>
          <cell r="N389" t="str">
            <v>Own</v>
          </cell>
          <cell r="P389" t="str">
            <v>High Qualif/Self Emp/Mgmt</v>
          </cell>
          <cell r="S389" t="str">
            <v>Yes</v>
          </cell>
        </row>
        <row r="390">
          <cell r="C390" t="str">
            <v>Critical/Other Existing Credit</v>
          </cell>
          <cell r="D390" t="str">
            <v>Business</v>
          </cell>
          <cell r="E390">
            <v>255860</v>
          </cell>
          <cell r="F390" t="str">
            <v>50000 - 99999</v>
          </cell>
          <cell r="G390" t="str">
            <v>1-4 Years</v>
          </cell>
          <cell r="I390" t="str">
            <v>Male</v>
          </cell>
          <cell r="N390" t="str">
            <v>Own</v>
          </cell>
          <cell r="P390" t="str">
            <v>Skilled</v>
          </cell>
          <cell r="S390" t="str">
            <v>Yes</v>
          </cell>
        </row>
        <row r="391">
          <cell r="C391" t="str">
            <v>Existing Paid</v>
          </cell>
          <cell r="D391" t="str">
            <v>Business</v>
          </cell>
          <cell r="E391">
            <v>159390</v>
          </cell>
          <cell r="F391" t="str">
            <v>Less than 10000</v>
          </cell>
          <cell r="G391" t="str">
            <v>4-6 Years</v>
          </cell>
          <cell r="I391" t="str">
            <v>Female</v>
          </cell>
          <cell r="N391" t="str">
            <v>Own</v>
          </cell>
          <cell r="P391" t="str">
            <v>Skilled</v>
          </cell>
          <cell r="S391" t="str">
            <v>Yes</v>
          </cell>
        </row>
        <row r="392">
          <cell r="C392" t="str">
            <v>Existing Paid</v>
          </cell>
          <cell r="D392" t="str">
            <v>New Car</v>
          </cell>
          <cell r="E392">
            <v>200200</v>
          </cell>
          <cell r="F392" t="str">
            <v>Less than 10000</v>
          </cell>
          <cell r="G392" t="str">
            <v>1-4 Years</v>
          </cell>
          <cell r="I392" t="str">
            <v>Male</v>
          </cell>
          <cell r="N392" t="str">
            <v>Own</v>
          </cell>
          <cell r="P392" t="str">
            <v>High Qualif/Self Emp/Mgmt</v>
          </cell>
          <cell r="S392" t="str">
            <v>Yes</v>
          </cell>
        </row>
        <row r="393">
          <cell r="C393" t="str">
            <v>Existing Paid</v>
          </cell>
          <cell r="D393" t="str">
            <v>Furniture/Equipment</v>
          </cell>
          <cell r="E393">
            <v>108130</v>
          </cell>
          <cell r="F393" t="str">
            <v>1,00000 or Above</v>
          </cell>
          <cell r="G393" t="str">
            <v>Below 1Years</v>
          </cell>
          <cell r="I393" t="str">
            <v>Female</v>
          </cell>
          <cell r="N393" t="str">
            <v>Rent</v>
          </cell>
          <cell r="P393" t="str">
            <v>Unskilled Resident</v>
          </cell>
          <cell r="S393" t="str">
            <v>Yes</v>
          </cell>
        </row>
        <row r="394">
          <cell r="C394" t="str">
            <v>Existing Paid</v>
          </cell>
          <cell r="D394" t="str">
            <v>New Car</v>
          </cell>
          <cell r="E394">
            <v>357390</v>
          </cell>
          <cell r="F394" t="str">
            <v>Less than 10000</v>
          </cell>
          <cell r="G394" t="str">
            <v>4-6 Years</v>
          </cell>
          <cell r="I394" t="str">
            <v>Male</v>
          </cell>
          <cell r="N394" t="str">
            <v>For Free</v>
          </cell>
          <cell r="P394" t="str">
            <v>High Qualif/Self Emp/Mgmt</v>
          </cell>
          <cell r="S394" t="str">
            <v>Yes</v>
          </cell>
        </row>
        <row r="395">
          <cell r="C395" t="str">
            <v>Critical/Other Existing Credit</v>
          </cell>
          <cell r="D395" t="str">
            <v>Radio/Tv</v>
          </cell>
          <cell r="E395">
            <v>215270</v>
          </cell>
          <cell r="F395" t="str">
            <v>Less than 10000</v>
          </cell>
          <cell r="G395" t="str">
            <v>4-6 Years</v>
          </cell>
          <cell r="I395" t="str">
            <v>Female</v>
          </cell>
          <cell r="N395" t="str">
            <v>Own</v>
          </cell>
          <cell r="P395" t="str">
            <v>Skilled</v>
          </cell>
          <cell r="S395" t="str">
            <v>Yes</v>
          </cell>
        </row>
        <row r="396">
          <cell r="C396" t="str">
            <v>Critical/Other Existing Credit</v>
          </cell>
          <cell r="D396" t="str">
            <v>Furniture/Equipment</v>
          </cell>
          <cell r="E396">
            <v>264660</v>
          </cell>
          <cell r="F396" t="str">
            <v>Less than 10000</v>
          </cell>
          <cell r="G396" t="str">
            <v>Unemployed</v>
          </cell>
          <cell r="I396" t="str">
            <v>Male</v>
          </cell>
          <cell r="N396" t="str">
            <v>Own</v>
          </cell>
          <cell r="P396" t="str">
            <v>High Qualif/Self Emp/Mgmt</v>
          </cell>
          <cell r="S396" t="str">
            <v>Yes</v>
          </cell>
        </row>
        <row r="397">
          <cell r="C397" t="str">
            <v>Delayed Previously</v>
          </cell>
          <cell r="D397" t="str">
            <v>Education</v>
          </cell>
          <cell r="E397">
            <v>1293600</v>
          </cell>
          <cell r="F397" t="str">
            <v>10000 - 49999</v>
          </cell>
          <cell r="G397" t="str">
            <v>4-6 Years</v>
          </cell>
          <cell r="I397" t="str">
            <v>Male</v>
          </cell>
          <cell r="N397" t="str">
            <v>Rent</v>
          </cell>
          <cell r="P397" t="str">
            <v>Skilled</v>
          </cell>
          <cell r="S397" t="str">
            <v>Yes</v>
          </cell>
        </row>
        <row r="398">
          <cell r="C398" t="str">
            <v>Existing Paid</v>
          </cell>
          <cell r="D398" t="str">
            <v>Furniture/Equipment</v>
          </cell>
          <cell r="E398">
            <v>283580</v>
          </cell>
          <cell r="F398" t="str">
            <v>Less than 10000</v>
          </cell>
          <cell r="G398" t="str">
            <v>Unemployed</v>
          </cell>
          <cell r="I398" t="str">
            <v>Female</v>
          </cell>
          <cell r="N398" t="str">
            <v>For Free</v>
          </cell>
          <cell r="P398" t="str">
            <v>High Qualif/Self Emp/Mgmt</v>
          </cell>
          <cell r="S398" t="str">
            <v>Yes</v>
          </cell>
        </row>
        <row r="399">
          <cell r="C399" t="str">
            <v>Critical/Other Existing Credit</v>
          </cell>
          <cell r="D399" t="str">
            <v>Furniture/Equipment</v>
          </cell>
          <cell r="E399">
            <v>258280</v>
          </cell>
          <cell r="F399" t="str">
            <v>Less than 10000</v>
          </cell>
          <cell r="G399" t="str">
            <v>1-4 Years</v>
          </cell>
          <cell r="I399" t="str">
            <v>Male</v>
          </cell>
          <cell r="N399" t="str">
            <v>Own</v>
          </cell>
          <cell r="P399" t="str">
            <v>Skilled</v>
          </cell>
          <cell r="S399" t="str">
            <v>Yes</v>
          </cell>
        </row>
        <row r="400">
          <cell r="C400" t="str">
            <v>Existing Paid</v>
          </cell>
          <cell r="D400" t="str">
            <v>New Car</v>
          </cell>
          <cell r="E400">
            <v>134530</v>
          </cell>
          <cell r="F400" t="str">
            <v>Less than 10000</v>
          </cell>
          <cell r="G400" t="str">
            <v>7 Years</v>
          </cell>
          <cell r="I400" t="str">
            <v>Male</v>
          </cell>
          <cell r="N400" t="str">
            <v>Rent</v>
          </cell>
          <cell r="P400" t="str">
            <v>Skilled</v>
          </cell>
          <cell r="S400" t="str">
            <v>Yes</v>
          </cell>
        </row>
        <row r="401">
          <cell r="C401" t="str">
            <v>Critical/Other Existing Credit</v>
          </cell>
          <cell r="D401" t="str">
            <v>Radio/Tv</v>
          </cell>
          <cell r="E401">
            <v>166760</v>
          </cell>
          <cell r="F401" t="str">
            <v>1,00000 or Above</v>
          </cell>
          <cell r="G401" t="str">
            <v>1-4 Years</v>
          </cell>
          <cell r="I401" t="str">
            <v>Female</v>
          </cell>
          <cell r="N401" t="str">
            <v>Own</v>
          </cell>
          <cell r="P401" t="str">
            <v>Unskilled Resident</v>
          </cell>
          <cell r="S401" t="str">
            <v>Yes</v>
          </cell>
        </row>
        <row r="402">
          <cell r="C402" t="str">
            <v>Existing Paid</v>
          </cell>
          <cell r="D402" t="str">
            <v>Radio/Tv</v>
          </cell>
          <cell r="E402">
            <v>162030</v>
          </cell>
          <cell r="F402" t="str">
            <v>Less than 10000</v>
          </cell>
          <cell r="G402" t="str">
            <v>Below 1Years</v>
          </cell>
          <cell r="I402" t="str">
            <v>Male</v>
          </cell>
          <cell r="N402" t="str">
            <v>Own</v>
          </cell>
          <cell r="P402" t="str">
            <v>Skilled</v>
          </cell>
          <cell r="S402" t="str">
            <v>Yes</v>
          </cell>
        </row>
        <row r="403">
          <cell r="C403" t="str">
            <v>Critical/Other Existing Credit</v>
          </cell>
          <cell r="D403" t="str">
            <v>Business</v>
          </cell>
          <cell r="E403">
            <v>207570</v>
          </cell>
          <cell r="F403" t="str">
            <v>No Savings</v>
          </cell>
          <cell r="G403" t="str">
            <v>1-4 Years</v>
          </cell>
          <cell r="I403" t="str">
            <v>Male</v>
          </cell>
          <cell r="N403" t="str">
            <v>Own</v>
          </cell>
          <cell r="P403" t="str">
            <v>Skilled</v>
          </cell>
          <cell r="S403" t="str">
            <v>Yes</v>
          </cell>
        </row>
        <row r="404">
          <cell r="C404" t="str">
            <v>Delayed Previously</v>
          </cell>
          <cell r="D404" t="str">
            <v>Business</v>
          </cell>
          <cell r="E404">
            <v>951280</v>
          </cell>
          <cell r="F404" t="str">
            <v>Less than 10000</v>
          </cell>
          <cell r="G404" t="str">
            <v>Below 1Years</v>
          </cell>
          <cell r="I404" t="str">
            <v>Male</v>
          </cell>
          <cell r="N404" t="str">
            <v>Own</v>
          </cell>
          <cell r="P404" t="str">
            <v>Skilled</v>
          </cell>
          <cell r="S404" t="str">
            <v>Yes</v>
          </cell>
        </row>
        <row r="405">
          <cell r="C405" t="str">
            <v>Delayed Previously</v>
          </cell>
          <cell r="D405" t="str">
            <v>New Car</v>
          </cell>
          <cell r="E405">
            <v>88220</v>
          </cell>
          <cell r="F405" t="str">
            <v>Less than 10000</v>
          </cell>
          <cell r="G405" t="str">
            <v>1-4 Years</v>
          </cell>
          <cell r="I405" t="str">
            <v>Male</v>
          </cell>
          <cell r="N405" t="str">
            <v>Own</v>
          </cell>
          <cell r="P405" t="str">
            <v>Unskilled Resident</v>
          </cell>
          <cell r="S405" t="str">
            <v>Yes</v>
          </cell>
        </row>
        <row r="406">
          <cell r="C406" t="str">
            <v>Delayed Previously</v>
          </cell>
          <cell r="D406" t="str">
            <v>New Car</v>
          </cell>
          <cell r="E406">
            <v>318890</v>
          </cell>
          <cell r="F406" t="str">
            <v>No Savings</v>
          </cell>
          <cell r="G406" t="str">
            <v>7 Years</v>
          </cell>
          <cell r="I406" t="str">
            <v>Male</v>
          </cell>
          <cell r="N406" t="str">
            <v>Own</v>
          </cell>
          <cell r="P406" t="str">
            <v>Skilled</v>
          </cell>
          <cell r="S406" t="str">
            <v>Yes</v>
          </cell>
        </row>
        <row r="407">
          <cell r="C407" t="str">
            <v>Existing Paid</v>
          </cell>
          <cell r="D407" t="str">
            <v>Radio/Tv</v>
          </cell>
          <cell r="E407">
            <v>224290</v>
          </cell>
          <cell r="F407" t="str">
            <v>Less than 10000</v>
          </cell>
          <cell r="G407" t="str">
            <v>Below 1Years</v>
          </cell>
          <cell r="I407" t="str">
            <v>Male</v>
          </cell>
          <cell r="N407" t="str">
            <v>Own</v>
          </cell>
          <cell r="P407" t="str">
            <v>Skilled</v>
          </cell>
          <cell r="S407" t="str">
            <v>Yes</v>
          </cell>
        </row>
        <row r="408">
          <cell r="C408" t="str">
            <v>Critical/Other Existing Credit</v>
          </cell>
          <cell r="D408" t="str">
            <v>Used Car</v>
          </cell>
          <cell r="E408">
            <v>241670</v>
          </cell>
          <cell r="F408" t="str">
            <v>No Savings</v>
          </cell>
          <cell r="G408" t="str">
            <v>4-6 Years</v>
          </cell>
          <cell r="I408" t="str">
            <v>Male</v>
          </cell>
          <cell r="N408" t="str">
            <v>Own</v>
          </cell>
          <cell r="P408" t="str">
            <v>Skilled</v>
          </cell>
          <cell r="S408" t="str">
            <v>Yes</v>
          </cell>
        </row>
        <row r="409">
          <cell r="C409" t="str">
            <v>Existing Paid</v>
          </cell>
          <cell r="D409" t="str">
            <v>Radio/Tv</v>
          </cell>
          <cell r="E409">
            <v>115830</v>
          </cell>
          <cell r="F409" t="str">
            <v>Less than 10000</v>
          </cell>
          <cell r="G409" t="str">
            <v>Below 1Years</v>
          </cell>
          <cell r="I409" t="str">
            <v>Male</v>
          </cell>
          <cell r="N409" t="str">
            <v>Own</v>
          </cell>
          <cell r="P409" t="str">
            <v>Skilled</v>
          </cell>
          <cell r="S409" t="str">
            <v>No</v>
          </cell>
        </row>
        <row r="410">
          <cell r="C410" t="str">
            <v>Existing Paid</v>
          </cell>
          <cell r="D410" t="str">
            <v>Radio/Tv</v>
          </cell>
          <cell r="E410">
            <v>355850</v>
          </cell>
          <cell r="F410" t="str">
            <v>50000 - 99999</v>
          </cell>
          <cell r="G410" t="str">
            <v>7 Years</v>
          </cell>
          <cell r="I410" t="str">
            <v>Male</v>
          </cell>
          <cell r="N410" t="str">
            <v>Own</v>
          </cell>
          <cell r="P410" t="str">
            <v>High Qualif/Self Emp/Mgmt</v>
          </cell>
          <cell r="S410" t="str">
            <v>Yes</v>
          </cell>
        </row>
        <row r="411">
          <cell r="C411" t="str">
            <v>Critical/Other Existing Credit</v>
          </cell>
          <cell r="D411" t="str">
            <v>New Car</v>
          </cell>
          <cell r="E411">
            <v>103290</v>
          </cell>
          <cell r="F411" t="str">
            <v>50000 - 99999</v>
          </cell>
          <cell r="G411" t="str">
            <v>4-6 Years</v>
          </cell>
          <cell r="I411" t="str">
            <v>Male</v>
          </cell>
          <cell r="N411" t="str">
            <v>Own</v>
          </cell>
          <cell r="P411" t="str">
            <v>Skilled</v>
          </cell>
          <cell r="S411" t="str">
            <v>Yes</v>
          </cell>
        </row>
        <row r="412">
          <cell r="C412" t="str">
            <v>Existing Paid</v>
          </cell>
          <cell r="D412" t="str">
            <v>Radio/Tv</v>
          </cell>
          <cell r="E412">
            <v>216370</v>
          </cell>
          <cell r="F412" t="str">
            <v>Less than 10000</v>
          </cell>
          <cell r="G412" t="str">
            <v>7 Years</v>
          </cell>
          <cell r="I412" t="str">
            <v>Female</v>
          </cell>
          <cell r="N412" t="str">
            <v>Own</v>
          </cell>
          <cell r="P412" t="str">
            <v>Skilled</v>
          </cell>
          <cell r="S412" t="str">
            <v>Yes</v>
          </cell>
        </row>
        <row r="413">
          <cell r="C413" t="str">
            <v>Critical/Other Existing Credit</v>
          </cell>
          <cell r="D413" t="str">
            <v>Used Car</v>
          </cell>
          <cell r="E413">
            <v>797830</v>
          </cell>
          <cell r="F413" t="str">
            <v>Less than 10000</v>
          </cell>
          <cell r="G413" t="str">
            <v>4-6 Years</v>
          </cell>
          <cell r="I413" t="str">
            <v>Male</v>
          </cell>
          <cell r="N413" t="str">
            <v>Own</v>
          </cell>
          <cell r="P413" t="str">
            <v>High Qualif/Self Emp/Mgmt</v>
          </cell>
          <cell r="S413" t="str">
            <v>Yes</v>
          </cell>
        </row>
        <row r="414">
          <cell r="C414" t="str">
            <v>Critical/Other Existing Credit</v>
          </cell>
          <cell r="D414" t="str">
            <v>Business</v>
          </cell>
          <cell r="E414">
            <v>252120</v>
          </cell>
          <cell r="F414" t="str">
            <v>Less than 10000</v>
          </cell>
          <cell r="G414" t="str">
            <v>Unemployed</v>
          </cell>
          <cell r="I414" t="str">
            <v>Male</v>
          </cell>
          <cell r="N414" t="str">
            <v>Own</v>
          </cell>
          <cell r="P414" t="str">
            <v>High Qualif/Self Emp/Mgmt</v>
          </cell>
          <cell r="S414" t="str">
            <v>Yes</v>
          </cell>
        </row>
        <row r="415">
          <cell r="C415" t="str">
            <v>Existing Paid</v>
          </cell>
          <cell r="D415" t="str">
            <v>New Car</v>
          </cell>
          <cell r="E415">
            <v>175670</v>
          </cell>
          <cell r="F415" t="str">
            <v>50000 - 99999</v>
          </cell>
          <cell r="G415" t="str">
            <v>1-4 Years</v>
          </cell>
          <cell r="I415" t="str">
            <v>Male</v>
          </cell>
          <cell r="N415" t="str">
            <v>Rent</v>
          </cell>
          <cell r="P415" t="str">
            <v>Unskilled Resident</v>
          </cell>
          <cell r="S415" t="str">
            <v>No</v>
          </cell>
        </row>
        <row r="416">
          <cell r="C416" t="str">
            <v>Existing Paid</v>
          </cell>
          <cell r="D416" t="str">
            <v>New Car</v>
          </cell>
          <cell r="E416">
            <v>151910</v>
          </cell>
          <cell r="F416" t="str">
            <v>No Savings</v>
          </cell>
          <cell r="G416" t="str">
            <v>1-4 Years</v>
          </cell>
          <cell r="I416" t="str">
            <v>Female</v>
          </cell>
          <cell r="N416" t="str">
            <v>Own</v>
          </cell>
          <cell r="P416" t="str">
            <v>Skilled</v>
          </cell>
          <cell r="S416" t="str">
            <v>Yes</v>
          </cell>
        </row>
        <row r="417">
          <cell r="C417" t="str">
            <v>Critical/Other Existing Credit</v>
          </cell>
          <cell r="D417" t="str">
            <v>Used Car</v>
          </cell>
          <cell r="E417">
            <v>642620</v>
          </cell>
          <cell r="F417" t="str">
            <v>Less than 10000</v>
          </cell>
          <cell r="G417" t="str">
            <v>7 Years</v>
          </cell>
          <cell r="I417" t="str">
            <v>Male</v>
          </cell>
          <cell r="N417" t="str">
            <v>Own</v>
          </cell>
          <cell r="P417" t="str">
            <v>Skilled</v>
          </cell>
          <cell r="S417" t="str">
            <v>Yes</v>
          </cell>
        </row>
        <row r="418">
          <cell r="C418" t="str">
            <v>Existing Paid</v>
          </cell>
          <cell r="D418" t="str">
            <v>New Car</v>
          </cell>
          <cell r="E418">
            <v>283690</v>
          </cell>
          <cell r="F418" t="str">
            <v>Less than 10000</v>
          </cell>
          <cell r="G418" t="str">
            <v>Below 1Years</v>
          </cell>
          <cell r="I418" t="str">
            <v>Male</v>
          </cell>
          <cell r="N418" t="str">
            <v>Own</v>
          </cell>
          <cell r="P418" t="str">
            <v>Unskilled Resident</v>
          </cell>
          <cell r="S418" t="str">
            <v>Yes</v>
          </cell>
        </row>
        <row r="419">
          <cell r="C419" t="str">
            <v>Delayed Previously</v>
          </cell>
          <cell r="D419" t="str">
            <v>Education</v>
          </cell>
          <cell r="E419">
            <v>931810</v>
          </cell>
          <cell r="F419" t="str">
            <v>No Savings</v>
          </cell>
          <cell r="G419" t="str">
            <v>1-4 Years</v>
          </cell>
          <cell r="I419" t="str">
            <v>Female</v>
          </cell>
          <cell r="N419" t="str">
            <v>Rent</v>
          </cell>
          <cell r="P419" t="str">
            <v>Skilled</v>
          </cell>
          <cell r="S419" t="str">
            <v>Yes</v>
          </cell>
        </row>
        <row r="420">
          <cell r="C420" t="str">
            <v>Existing Paid</v>
          </cell>
          <cell r="D420" t="str">
            <v>New Car</v>
          </cell>
          <cell r="E420">
            <v>306020</v>
          </cell>
          <cell r="F420" t="str">
            <v>50000 - 99999</v>
          </cell>
          <cell r="G420" t="str">
            <v>4-6 Years</v>
          </cell>
          <cell r="I420" t="str">
            <v>Female</v>
          </cell>
          <cell r="N420" t="str">
            <v>Own</v>
          </cell>
          <cell r="P420" t="str">
            <v>High Qualif/Self Emp/Mgmt</v>
          </cell>
          <cell r="S420" t="str">
            <v>Yes</v>
          </cell>
        </row>
        <row r="421">
          <cell r="C421" t="str">
            <v>Existing Paid</v>
          </cell>
          <cell r="D421" t="str">
            <v>New Car</v>
          </cell>
          <cell r="E421">
            <v>114620</v>
          </cell>
          <cell r="F421" t="str">
            <v>No Savings</v>
          </cell>
          <cell r="G421" t="str">
            <v>1-4 Years</v>
          </cell>
          <cell r="I421" t="str">
            <v>Female</v>
          </cell>
          <cell r="N421" t="str">
            <v>Own</v>
          </cell>
          <cell r="P421" t="str">
            <v>Skilled</v>
          </cell>
          <cell r="S421" t="str">
            <v>Yes</v>
          </cell>
        </row>
        <row r="422">
          <cell r="C422" t="str">
            <v>Existing Paid</v>
          </cell>
          <cell r="D422" t="str">
            <v>New Car</v>
          </cell>
          <cell r="E422">
            <v>350460</v>
          </cell>
          <cell r="F422" t="str">
            <v>1,00000 or Above</v>
          </cell>
          <cell r="G422" t="str">
            <v>4-6 Years</v>
          </cell>
          <cell r="I422" t="str">
            <v>Female</v>
          </cell>
          <cell r="N422" t="str">
            <v>Rent</v>
          </cell>
          <cell r="P422" t="str">
            <v>Skilled</v>
          </cell>
          <cell r="S422" t="str">
            <v>Yes</v>
          </cell>
        </row>
        <row r="423">
          <cell r="C423" t="str">
            <v>Existing Paid</v>
          </cell>
          <cell r="D423" t="str">
            <v>Used Car</v>
          </cell>
          <cell r="E423">
            <v>223080</v>
          </cell>
          <cell r="F423" t="str">
            <v>No Savings</v>
          </cell>
          <cell r="G423" t="str">
            <v>1-4 Years</v>
          </cell>
          <cell r="I423" t="str">
            <v>Male</v>
          </cell>
          <cell r="N423" t="str">
            <v>Own</v>
          </cell>
          <cell r="P423" t="str">
            <v>Skilled</v>
          </cell>
          <cell r="S423" t="str">
            <v>Yes</v>
          </cell>
        </row>
        <row r="424">
          <cell r="C424" t="str">
            <v>Critical/Other Existing Credit</v>
          </cell>
          <cell r="D424" t="str">
            <v>New Car</v>
          </cell>
          <cell r="E424">
            <v>105380</v>
          </cell>
          <cell r="F424" t="str">
            <v>Less than 10000</v>
          </cell>
          <cell r="G424" t="str">
            <v>4-6 Years</v>
          </cell>
          <cell r="I424" t="str">
            <v>Male</v>
          </cell>
          <cell r="N424" t="str">
            <v>Own</v>
          </cell>
          <cell r="P424" t="str">
            <v>Unskilled Resident</v>
          </cell>
          <cell r="S424" t="str">
            <v>Yes</v>
          </cell>
        </row>
        <row r="425">
          <cell r="C425" t="str">
            <v>Delayed Previously</v>
          </cell>
          <cell r="D425" t="str">
            <v>Furniture/Equipment</v>
          </cell>
          <cell r="E425">
            <v>175010</v>
          </cell>
          <cell r="F425" t="str">
            <v>10000 - 49999</v>
          </cell>
          <cell r="G425" t="str">
            <v>4-6 Years</v>
          </cell>
          <cell r="I425" t="str">
            <v>Male</v>
          </cell>
          <cell r="N425" t="str">
            <v>Own</v>
          </cell>
          <cell r="P425" t="str">
            <v>High Qualif/Self Emp/Mgmt</v>
          </cell>
          <cell r="S425" t="str">
            <v>Yes</v>
          </cell>
        </row>
        <row r="426">
          <cell r="C426" t="str">
            <v>Existing Paid</v>
          </cell>
          <cell r="D426" t="str">
            <v>Furniture/Equipment</v>
          </cell>
          <cell r="E426">
            <v>303820</v>
          </cell>
          <cell r="F426" t="str">
            <v>No Savings</v>
          </cell>
          <cell r="G426" t="str">
            <v>7 Years</v>
          </cell>
          <cell r="I426" t="str">
            <v>Female</v>
          </cell>
          <cell r="N426" t="str">
            <v>Own</v>
          </cell>
          <cell r="P426" t="str">
            <v>Skilled</v>
          </cell>
          <cell r="S426" t="str">
            <v>Yes</v>
          </cell>
        </row>
        <row r="427">
          <cell r="C427" t="str">
            <v>Existing Paid</v>
          </cell>
          <cell r="D427" t="str">
            <v>Used Car</v>
          </cell>
          <cell r="E427">
            <v>305690</v>
          </cell>
          <cell r="F427" t="str">
            <v>Less than 10000</v>
          </cell>
          <cell r="G427" t="str">
            <v>1-4 Years</v>
          </cell>
          <cell r="I427" t="str">
            <v>Male</v>
          </cell>
          <cell r="N427" t="str">
            <v>Rent</v>
          </cell>
          <cell r="P427" t="str">
            <v>Skilled</v>
          </cell>
          <cell r="S427" t="str">
            <v>Yes</v>
          </cell>
        </row>
        <row r="428">
          <cell r="C428" t="str">
            <v>Critical/Other Existing Credit</v>
          </cell>
          <cell r="D428" t="str">
            <v>Radio/Tv</v>
          </cell>
          <cell r="E428">
            <v>301730</v>
          </cell>
          <cell r="F428" t="str">
            <v>Less than 10000</v>
          </cell>
          <cell r="G428" t="str">
            <v>7 Years</v>
          </cell>
          <cell r="I428" t="str">
            <v>Male</v>
          </cell>
          <cell r="N428" t="str">
            <v>Own</v>
          </cell>
          <cell r="P428" t="str">
            <v>Skilled</v>
          </cell>
          <cell r="S428" t="str">
            <v>Yes</v>
          </cell>
        </row>
        <row r="429">
          <cell r="C429" t="str">
            <v>Critical/Other Existing Credit</v>
          </cell>
          <cell r="D429" t="str">
            <v>Radio/Tv</v>
          </cell>
          <cell r="E429">
            <v>126390</v>
          </cell>
          <cell r="F429" t="str">
            <v>1,00000 or Above</v>
          </cell>
          <cell r="G429" t="str">
            <v>1-4 Years</v>
          </cell>
          <cell r="I429" t="str">
            <v>Male</v>
          </cell>
          <cell r="N429" t="str">
            <v>Own</v>
          </cell>
          <cell r="P429" t="str">
            <v>Skilled</v>
          </cell>
          <cell r="S429" t="str">
            <v>Yes</v>
          </cell>
        </row>
        <row r="430">
          <cell r="C430" t="str">
            <v>Existing Paid</v>
          </cell>
          <cell r="D430" t="str">
            <v>Furniture/Equipment</v>
          </cell>
          <cell r="E430">
            <v>144430</v>
          </cell>
          <cell r="F430" t="str">
            <v>Less than 10000</v>
          </cell>
          <cell r="G430" t="str">
            <v>7 Years</v>
          </cell>
          <cell r="I430" t="str">
            <v>Male</v>
          </cell>
          <cell r="N430" t="str">
            <v>Own</v>
          </cell>
          <cell r="P430" t="str">
            <v>Skilled</v>
          </cell>
          <cell r="S430" t="str">
            <v>Yes</v>
          </cell>
        </row>
        <row r="431">
          <cell r="C431" t="str">
            <v>Critical/Other Existing Credit</v>
          </cell>
          <cell r="D431" t="str">
            <v>Repairs</v>
          </cell>
          <cell r="E431">
            <v>130900</v>
          </cell>
          <cell r="F431" t="str">
            <v>Less than 10000</v>
          </cell>
          <cell r="G431" t="str">
            <v>Unemployed</v>
          </cell>
          <cell r="I431" t="str">
            <v>Female</v>
          </cell>
          <cell r="N431" t="str">
            <v>For Free</v>
          </cell>
          <cell r="P431" t="str">
            <v>Unemp/Unskilled Non Res</v>
          </cell>
          <cell r="S431" t="str">
            <v>Yes</v>
          </cell>
        </row>
        <row r="432">
          <cell r="C432" t="str">
            <v>Existing Paid</v>
          </cell>
          <cell r="D432" t="str">
            <v>Business</v>
          </cell>
          <cell r="E432">
            <v>379280</v>
          </cell>
          <cell r="F432" t="str">
            <v>Less than 10000</v>
          </cell>
          <cell r="G432" t="str">
            <v>4-6 Years</v>
          </cell>
          <cell r="I432" t="str">
            <v>Male</v>
          </cell>
          <cell r="N432" t="str">
            <v>Own</v>
          </cell>
          <cell r="P432" t="str">
            <v>Unskilled Resident</v>
          </cell>
          <cell r="S432" t="str">
            <v>Yes</v>
          </cell>
        </row>
        <row r="433">
          <cell r="C433" t="str">
            <v>Existing Paid</v>
          </cell>
          <cell r="D433" t="str">
            <v>Other</v>
          </cell>
          <cell r="E433">
            <v>1246080</v>
          </cell>
          <cell r="F433" t="str">
            <v>Less than 10000</v>
          </cell>
          <cell r="G433" t="str">
            <v>1-4 Years</v>
          </cell>
          <cell r="I433" t="str">
            <v>Male</v>
          </cell>
          <cell r="N433" t="str">
            <v>Own</v>
          </cell>
          <cell r="P433" t="str">
            <v>High Qualif/Self Emp/Mgmt</v>
          </cell>
          <cell r="S433" t="str">
            <v>Yes</v>
          </cell>
        </row>
        <row r="434">
          <cell r="C434" t="str">
            <v>Critical/Other Existing Credit</v>
          </cell>
          <cell r="D434" t="str">
            <v>Furniture/Equipment</v>
          </cell>
          <cell r="E434">
            <v>205920</v>
          </cell>
          <cell r="F434" t="str">
            <v>Less than 10000</v>
          </cell>
          <cell r="G434" t="str">
            <v>Unemployed</v>
          </cell>
          <cell r="I434" t="str">
            <v>Male</v>
          </cell>
          <cell r="N434" t="str">
            <v>For Free</v>
          </cell>
          <cell r="P434" t="str">
            <v>High Qualif/Self Emp/Mgmt</v>
          </cell>
          <cell r="S434" t="str">
            <v>Yes</v>
          </cell>
        </row>
        <row r="435">
          <cell r="C435" t="str">
            <v>Critical/Other Existing Credit</v>
          </cell>
          <cell r="D435" t="str">
            <v>Repairs</v>
          </cell>
          <cell r="E435">
            <v>226380</v>
          </cell>
          <cell r="F435" t="str">
            <v>Less than 10000</v>
          </cell>
          <cell r="G435" t="str">
            <v>1-4 Years</v>
          </cell>
          <cell r="I435" t="str">
            <v>Male</v>
          </cell>
          <cell r="N435" t="str">
            <v>Own</v>
          </cell>
          <cell r="P435" t="str">
            <v>Skilled</v>
          </cell>
          <cell r="S435" t="str">
            <v>Yes</v>
          </cell>
        </row>
        <row r="436">
          <cell r="C436" t="str">
            <v>Existing Paid</v>
          </cell>
          <cell r="D436" t="str">
            <v>Furniture/Equipment</v>
          </cell>
          <cell r="E436">
            <v>234960</v>
          </cell>
          <cell r="F436" t="str">
            <v>Less than 10000</v>
          </cell>
          <cell r="G436" t="str">
            <v>1-4 Years</v>
          </cell>
          <cell r="I436" t="str">
            <v>Male</v>
          </cell>
          <cell r="N436" t="str">
            <v>Own</v>
          </cell>
          <cell r="P436" t="str">
            <v>Skilled</v>
          </cell>
          <cell r="S436" t="str">
            <v>Yes</v>
          </cell>
        </row>
        <row r="437">
          <cell r="C437" t="str">
            <v>Existing Paid</v>
          </cell>
          <cell r="D437" t="str">
            <v>Radio/Tv</v>
          </cell>
          <cell r="E437">
            <v>163240</v>
          </cell>
          <cell r="F437" t="str">
            <v>No Savings</v>
          </cell>
          <cell r="G437" t="str">
            <v>1-4 Years</v>
          </cell>
          <cell r="I437" t="str">
            <v>Male</v>
          </cell>
          <cell r="N437" t="str">
            <v>Own</v>
          </cell>
          <cell r="P437" t="str">
            <v>Skilled</v>
          </cell>
          <cell r="S437" t="str">
            <v>Yes</v>
          </cell>
        </row>
        <row r="438">
          <cell r="C438" t="str">
            <v>Existing Paid</v>
          </cell>
          <cell r="D438" t="str">
            <v>Repairs</v>
          </cell>
          <cell r="E438">
            <v>72600</v>
          </cell>
          <cell r="F438" t="str">
            <v>50000 - 99999</v>
          </cell>
          <cell r="G438" t="str">
            <v>4-6 Years</v>
          </cell>
          <cell r="I438" t="str">
            <v>Male</v>
          </cell>
          <cell r="N438" t="str">
            <v>Rent</v>
          </cell>
          <cell r="P438" t="str">
            <v>Unskilled Resident</v>
          </cell>
          <cell r="S438" t="str">
            <v>Yes</v>
          </cell>
        </row>
        <row r="439">
          <cell r="C439" t="str">
            <v>Critical/Other Existing Credit</v>
          </cell>
          <cell r="D439" t="str">
            <v>New Car</v>
          </cell>
          <cell r="E439">
            <v>141570</v>
          </cell>
          <cell r="F439" t="str">
            <v>1,00000 or Above</v>
          </cell>
          <cell r="G439" t="str">
            <v>7 Years</v>
          </cell>
          <cell r="I439" t="str">
            <v>Female</v>
          </cell>
          <cell r="N439" t="str">
            <v>Own</v>
          </cell>
          <cell r="P439" t="str">
            <v>Skilled</v>
          </cell>
          <cell r="S439" t="str">
            <v>Yes</v>
          </cell>
        </row>
        <row r="440">
          <cell r="C440" t="str">
            <v>Critical/Other Existing Credit</v>
          </cell>
          <cell r="D440" t="str">
            <v>Repairs</v>
          </cell>
          <cell r="E440">
            <v>373340</v>
          </cell>
          <cell r="F440" t="str">
            <v>Less than 10000</v>
          </cell>
          <cell r="G440" t="str">
            <v>Unemployed</v>
          </cell>
          <cell r="I440" t="str">
            <v>Male</v>
          </cell>
          <cell r="N440" t="str">
            <v>Own</v>
          </cell>
          <cell r="P440" t="str">
            <v>Unemp/Unskilled Non Res</v>
          </cell>
          <cell r="S440" t="str">
            <v>Yes</v>
          </cell>
        </row>
        <row r="441">
          <cell r="C441" t="str">
            <v>All Paid</v>
          </cell>
          <cell r="D441" t="str">
            <v>Business</v>
          </cell>
          <cell r="E441">
            <v>66990</v>
          </cell>
          <cell r="F441" t="str">
            <v>Less than 10000</v>
          </cell>
          <cell r="G441" t="str">
            <v>Below 1Years</v>
          </cell>
          <cell r="I441" t="str">
            <v>Female</v>
          </cell>
          <cell r="N441" t="str">
            <v>Own</v>
          </cell>
          <cell r="P441" t="str">
            <v>Unemp/Unskilled Non Res</v>
          </cell>
          <cell r="S441" t="str">
            <v>Yes</v>
          </cell>
        </row>
        <row r="442">
          <cell r="C442" t="str">
            <v>Existing Paid</v>
          </cell>
          <cell r="D442" t="str">
            <v>New Car</v>
          </cell>
          <cell r="E442">
            <v>207240</v>
          </cell>
          <cell r="F442" t="str">
            <v>Less than 10000</v>
          </cell>
          <cell r="G442" t="str">
            <v>7 Years</v>
          </cell>
          <cell r="I442" t="str">
            <v>Male</v>
          </cell>
          <cell r="N442" t="str">
            <v>Own</v>
          </cell>
          <cell r="P442" t="str">
            <v>High Qualif/Self Emp/Mgmt</v>
          </cell>
          <cell r="S442" t="str">
            <v>Yes</v>
          </cell>
        </row>
        <row r="443">
          <cell r="C443" t="str">
            <v>Existing Paid</v>
          </cell>
          <cell r="D443" t="str">
            <v>Furniture/Equipment</v>
          </cell>
          <cell r="E443">
            <v>178200</v>
          </cell>
          <cell r="F443" t="str">
            <v>Less than 10000</v>
          </cell>
          <cell r="G443" t="str">
            <v>1-4 Years</v>
          </cell>
          <cell r="I443" t="str">
            <v>Female</v>
          </cell>
          <cell r="N443" t="str">
            <v>Own</v>
          </cell>
          <cell r="P443" t="str">
            <v>Skilled</v>
          </cell>
          <cell r="S443" t="str">
            <v>Yes</v>
          </cell>
        </row>
        <row r="444">
          <cell r="C444" t="str">
            <v>Delayed Previously</v>
          </cell>
          <cell r="D444" t="str">
            <v>Other</v>
          </cell>
          <cell r="E444">
            <v>289190</v>
          </cell>
          <cell r="F444" t="str">
            <v>Less than 10000</v>
          </cell>
          <cell r="G444" t="str">
            <v>1-4 Years</v>
          </cell>
          <cell r="I444" t="str">
            <v>Male</v>
          </cell>
          <cell r="N444" t="str">
            <v>Own</v>
          </cell>
          <cell r="P444" t="str">
            <v>Skilled</v>
          </cell>
          <cell r="S444" t="str">
            <v>Yes</v>
          </cell>
        </row>
        <row r="445">
          <cell r="C445" t="str">
            <v>Existing Paid</v>
          </cell>
          <cell r="D445" t="str">
            <v>Education</v>
          </cell>
          <cell r="E445">
            <v>79090</v>
          </cell>
          <cell r="F445" t="str">
            <v>Less than 10000</v>
          </cell>
          <cell r="G445" t="str">
            <v>7 Years</v>
          </cell>
          <cell r="I445" t="str">
            <v>Male</v>
          </cell>
          <cell r="N445" t="str">
            <v>Own</v>
          </cell>
          <cell r="P445" t="str">
            <v>Unskilled Resident</v>
          </cell>
          <cell r="S445" t="str">
            <v>Yes</v>
          </cell>
        </row>
        <row r="446">
          <cell r="C446" t="str">
            <v>Critical/Other Existing Credit</v>
          </cell>
          <cell r="D446" t="str">
            <v>Furniture/Equipment</v>
          </cell>
          <cell r="E446">
            <v>560560</v>
          </cell>
          <cell r="F446" t="str">
            <v>Less than 10000</v>
          </cell>
          <cell r="G446" t="str">
            <v>1-4 Years</v>
          </cell>
          <cell r="I446" t="str">
            <v>Female</v>
          </cell>
          <cell r="N446" t="str">
            <v>Own</v>
          </cell>
          <cell r="P446" t="str">
            <v>High Qualif/Self Emp/Mgmt</v>
          </cell>
          <cell r="S446" t="str">
            <v>Yes</v>
          </cell>
        </row>
        <row r="447">
          <cell r="C447" t="str">
            <v>Critical/Other Existing Credit</v>
          </cell>
          <cell r="D447" t="str">
            <v>Education</v>
          </cell>
          <cell r="E447">
            <v>136840</v>
          </cell>
          <cell r="F447" t="str">
            <v>No Savings</v>
          </cell>
          <cell r="G447" t="str">
            <v>7 Years</v>
          </cell>
          <cell r="I447" t="str">
            <v>Female</v>
          </cell>
          <cell r="N447" t="str">
            <v>Rent</v>
          </cell>
          <cell r="P447" t="str">
            <v>Unskilled Resident</v>
          </cell>
          <cell r="S447" t="str">
            <v>Yes</v>
          </cell>
        </row>
        <row r="448">
          <cell r="C448" t="str">
            <v>Existing Paid</v>
          </cell>
          <cell r="D448" t="str">
            <v>New Car</v>
          </cell>
          <cell r="E448">
            <v>202620</v>
          </cell>
          <cell r="F448" t="str">
            <v>Less than 10000</v>
          </cell>
          <cell r="G448" t="str">
            <v>Below 1Years</v>
          </cell>
          <cell r="I448" t="str">
            <v>Female</v>
          </cell>
          <cell r="N448" t="str">
            <v>Own</v>
          </cell>
          <cell r="P448" t="str">
            <v>Skilled</v>
          </cell>
          <cell r="S448" t="str">
            <v>Yes</v>
          </cell>
        </row>
        <row r="449">
          <cell r="C449" t="str">
            <v>Existing Paid</v>
          </cell>
          <cell r="D449" t="str">
            <v>Radio/Tv</v>
          </cell>
          <cell r="E449">
            <v>283360</v>
          </cell>
          <cell r="F449" t="str">
            <v>Less than 10000</v>
          </cell>
          <cell r="G449" t="str">
            <v>1-4 Years</v>
          </cell>
          <cell r="I449" t="str">
            <v>Male</v>
          </cell>
          <cell r="N449" t="str">
            <v>Own</v>
          </cell>
          <cell r="P449" t="str">
            <v>Skilled</v>
          </cell>
          <cell r="S449" t="str">
            <v>Yes</v>
          </cell>
        </row>
        <row r="450">
          <cell r="C450" t="str">
            <v>Existing Paid</v>
          </cell>
          <cell r="D450" t="str">
            <v>Furniture/Equipment</v>
          </cell>
          <cell r="E450">
            <v>156640</v>
          </cell>
          <cell r="F450" t="str">
            <v>No Savings</v>
          </cell>
          <cell r="G450" t="str">
            <v>7 Years</v>
          </cell>
          <cell r="I450" t="str">
            <v>Female</v>
          </cell>
          <cell r="N450" t="str">
            <v>Own</v>
          </cell>
          <cell r="P450" t="str">
            <v>High Qualif/Self Emp/Mgmt</v>
          </cell>
          <cell r="S450" t="str">
            <v>Yes</v>
          </cell>
        </row>
        <row r="451">
          <cell r="C451" t="str">
            <v>Delayed Previously</v>
          </cell>
          <cell r="D451" t="str">
            <v>Repairs</v>
          </cell>
          <cell r="E451">
            <v>166320</v>
          </cell>
          <cell r="F451" t="str">
            <v>1,00000 or Above</v>
          </cell>
          <cell r="G451" t="str">
            <v>1-4 Years</v>
          </cell>
          <cell r="I451" t="str">
            <v>Male</v>
          </cell>
          <cell r="N451" t="str">
            <v>Own</v>
          </cell>
          <cell r="P451" t="str">
            <v>Skilled</v>
          </cell>
          <cell r="S451" t="str">
            <v>Yes</v>
          </cell>
        </row>
        <row r="452">
          <cell r="C452" t="str">
            <v>Critical/Other Existing Credit</v>
          </cell>
          <cell r="D452" t="str">
            <v>Used Car</v>
          </cell>
          <cell r="E452">
            <v>1215940</v>
          </cell>
          <cell r="F452" t="str">
            <v>No Savings</v>
          </cell>
          <cell r="G452" t="str">
            <v>1-4 Years</v>
          </cell>
          <cell r="I452" t="str">
            <v>Male</v>
          </cell>
          <cell r="N452" t="str">
            <v>Own</v>
          </cell>
          <cell r="P452" t="str">
            <v>High Qualif/Self Emp/Mgmt</v>
          </cell>
          <cell r="S452" t="str">
            <v>Yes</v>
          </cell>
        </row>
        <row r="453">
          <cell r="C453" t="str">
            <v>Existing Paid</v>
          </cell>
          <cell r="D453" t="str">
            <v>Radio/Tv</v>
          </cell>
          <cell r="E453">
            <v>56980</v>
          </cell>
          <cell r="F453" t="str">
            <v>Less than 10000</v>
          </cell>
          <cell r="G453" t="str">
            <v>1-4 Years</v>
          </cell>
          <cell r="I453" t="str">
            <v>Female</v>
          </cell>
          <cell r="N453" t="str">
            <v>Own</v>
          </cell>
          <cell r="P453" t="str">
            <v>Skilled</v>
          </cell>
          <cell r="S453" t="str">
            <v>Yes</v>
          </cell>
        </row>
        <row r="454">
          <cell r="C454" t="str">
            <v>No Credits/All Paid</v>
          </cell>
          <cell r="D454" t="str">
            <v>Furniture/Equipment</v>
          </cell>
          <cell r="E454">
            <v>303490</v>
          </cell>
          <cell r="F454" t="str">
            <v>Less than 10000</v>
          </cell>
          <cell r="G454" t="str">
            <v>7 Years</v>
          </cell>
          <cell r="I454" t="str">
            <v>Male</v>
          </cell>
          <cell r="N454" t="str">
            <v>Own</v>
          </cell>
          <cell r="P454" t="str">
            <v>Skilled</v>
          </cell>
          <cell r="S454" t="str">
            <v>Yes</v>
          </cell>
        </row>
        <row r="455">
          <cell r="C455" t="str">
            <v>Existing Paid</v>
          </cell>
          <cell r="D455" t="str">
            <v>Used Car</v>
          </cell>
          <cell r="E455">
            <v>293700</v>
          </cell>
          <cell r="F455" t="str">
            <v>Less than 10000</v>
          </cell>
          <cell r="G455" t="str">
            <v>7 Years</v>
          </cell>
          <cell r="I455" t="str">
            <v>Male</v>
          </cell>
          <cell r="N455" t="str">
            <v>Own</v>
          </cell>
          <cell r="P455" t="str">
            <v>High Qualif/Self Emp/Mgmt</v>
          </cell>
          <cell r="S455" t="str">
            <v>Yes</v>
          </cell>
        </row>
        <row r="456">
          <cell r="C456" t="str">
            <v>Existing Paid</v>
          </cell>
          <cell r="D456" t="str">
            <v>New Car</v>
          </cell>
          <cell r="E456">
            <v>529870</v>
          </cell>
          <cell r="F456" t="str">
            <v>Less than 10000</v>
          </cell>
          <cell r="G456" t="str">
            <v>4-6 Years</v>
          </cell>
          <cell r="I456" t="str">
            <v>Male</v>
          </cell>
          <cell r="N456" t="str">
            <v>Own</v>
          </cell>
          <cell r="P456" t="str">
            <v>Skilled</v>
          </cell>
          <cell r="S456" t="str">
            <v>Yes</v>
          </cell>
        </row>
        <row r="457">
          <cell r="C457" t="str">
            <v>Existing Paid</v>
          </cell>
          <cell r="D457" t="str">
            <v>Used Car</v>
          </cell>
          <cell r="E457">
            <v>294690</v>
          </cell>
          <cell r="F457" t="str">
            <v>Less than 10000</v>
          </cell>
          <cell r="G457" t="str">
            <v>Below 1Years</v>
          </cell>
          <cell r="I457" t="str">
            <v>Female</v>
          </cell>
          <cell r="N457" t="str">
            <v>Own</v>
          </cell>
          <cell r="P457" t="str">
            <v>High Qualif/Self Emp/Mgmt</v>
          </cell>
          <cell r="S457" t="str">
            <v>Yes</v>
          </cell>
        </row>
        <row r="458">
          <cell r="C458" t="str">
            <v>Critical/Other Existing Credit</v>
          </cell>
          <cell r="D458" t="str">
            <v>New Car</v>
          </cell>
          <cell r="E458">
            <v>429550</v>
          </cell>
          <cell r="F458" t="str">
            <v>Less than 10000</v>
          </cell>
          <cell r="G458" t="str">
            <v>1-4 Years</v>
          </cell>
          <cell r="I458" t="str">
            <v>Male</v>
          </cell>
          <cell r="N458" t="str">
            <v>Rent</v>
          </cell>
          <cell r="P458" t="str">
            <v>Skilled</v>
          </cell>
          <cell r="S458" t="str">
            <v>Yes</v>
          </cell>
        </row>
        <row r="459">
          <cell r="C459" t="str">
            <v>Existing Paid</v>
          </cell>
          <cell r="D459" t="str">
            <v>Used Car</v>
          </cell>
          <cell r="E459">
            <v>372460</v>
          </cell>
          <cell r="F459" t="str">
            <v>Less than 10000</v>
          </cell>
          <cell r="G459" t="str">
            <v>7 Years</v>
          </cell>
          <cell r="I459" t="str">
            <v>Male</v>
          </cell>
          <cell r="N459" t="str">
            <v>For Free</v>
          </cell>
          <cell r="P459" t="str">
            <v>Skilled</v>
          </cell>
          <cell r="S459" t="str">
            <v>Yes</v>
          </cell>
        </row>
        <row r="460">
          <cell r="C460" t="str">
            <v>Existing Paid</v>
          </cell>
          <cell r="D460" t="str">
            <v>Domestic Appliance</v>
          </cell>
          <cell r="E460">
            <v>37730</v>
          </cell>
          <cell r="F460" t="str">
            <v>Less than 10000</v>
          </cell>
          <cell r="G460" t="str">
            <v>Below 1Years</v>
          </cell>
          <cell r="I460" t="str">
            <v>Female</v>
          </cell>
          <cell r="N460" t="str">
            <v>Own</v>
          </cell>
          <cell r="P460" t="str">
            <v>Skilled</v>
          </cell>
          <cell r="S460" t="str">
            <v>Yes</v>
          </cell>
        </row>
        <row r="461">
          <cell r="C461" t="str">
            <v>Existing Paid</v>
          </cell>
          <cell r="D461" t="str">
            <v>Radio/Tv</v>
          </cell>
          <cell r="E461">
            <v>505340</v>
          </cell>
          <cell r="F461" t="str">
            <v>Less than 10000</v>
          </cell>
          <cell r="G461" t="str">
            <v>Below 1Years</v>
          </cell>
          <cell r="I461" t="str">
            <v>Male</v>
          </cell>
          <cell r="N461" t="str">
            <v>Own</v>
          </cell>
          <cell r="P461" t="str">
            <v>Skilled</v>
          </cell>
          <cell r="S461" t="str">
            <v>Yes</v>
          </cell>
        </row>
        <row r="462">
          <cell r="C462" t="str">
            <v>Existing Paid</v>
          </cell>
          <cell r="D462" t="str">
            <v>Furniture/Equipment</v>
          </cell>
          <cell r="E462">
            <v>398200</v>
          </cell>
          <cell r="F462" t="str">
            <v>Less than 10000</v>
          </cell>
          <cell r="G462" t="str">
            <v>1-4 Years</v>
          </cell>
          <cell r="I462" t="str">
            <v>Male</v>
          </cell>
          <cell r="N462" t="str">
            <v>Own</v>
          </cell>
          <cell r="P462" t="str">
            <v>Skilled</v>
          </cell>
          <cell r="S462" t="str">
            <v>Yes</v>
          </cell>
        </row>
        <row r="463">
          <cell r="C463" t="str">
            <v>Existing Paid</v>
          </cell>
          <cell r="D463" t="str">
            <v>New Car</v>
          </cell>
          <cell r="E463">
            <v>189310</v>
          </cell>
          <cell r="F463" t="str">
            <v>Less than 10000</v>
          </cell>
          <cell r="G463" t="str">
            <v>Below 1Years</v>
          </cell>
          <cell r="I463" t="str">
            <v>Male</v>
          </cell>
          <cell r="N463" t="str">
            <v>Own</v>
          </cell>
          <cell r="P463" t="str">
            <v>Skilled</v>
          </cell>
          <cell r="S463" t="str">
            <v>Yes</v>
          </cell>
        </row>
        <row r="464">
          <cell r="C464" t="str">
            <v>Existing Paid</v>
          </cell>
          <cell r="D464" t="str">
            <v>Furniture/Equipment</v>
          </cell>
          <cell r="E464">
            <v>331870</v>
          </cell>
          <cell r="F464" t="str">
            <v>Less than 10000</v>
          </cell>
          <cell r="G464" t="str">
            <v>Below 1Years</v>
          </cell>
          <cell r="I464" t="str">
            <v>Female</v>
          </cell>
          <cell r="N464" t="str">
            <v>Rent</v>
          </cell>
          <cell r="P464" t="str">
            <v>High Qualif/Self Emp/Mgmt</v>
          </cell>
          <cell r="S464" t="str">
            <v>Yes</v>
          </cell>
        </row>
        <row r="465">
          <cell r="C465" t="str">
            <v>Existing Paid</v>
          </cell>
          <cell r="D465" t="str">
            <v>Retraining</v>
          </cell>
          <cell r="E465">
            <v>82940</v>
          </cell>
          <cell r="F465" t="str">
            <v>No Savings</v>
          </cell>
          <cell r="G465" t="str">
            <v>7 Years</v>
          </cell>
          <cell r="I465" t="str">
            <v>Male</v>
          </cell>
          <cell r="N465" t="str">
            <v>Own</v>
          </cell>
          <cell r="P465" t="str">
            <v>Skilled</v>
          </cell>
          <cell r="S465" t="str">
            <v>Yes</v>
          </cell>
        </row>
        <row r="466">
          <cell r="C466" t="str">
            <v>Existing Paid</v>
          </cell>
          <cell r="D466" t="str">
            <v>Business</v>
          </cell>
          <cell r="E466">
            <v>214500</v>
          </cell>
          <cell r="F466" t="str">
            <v>Less than 10000</v>
          </cell>
          <cell r="G466" t="str">
            <v>4-6 Years</v>
          </cell>
          <cell r="I466" t="str">
            <v>Male</v>
          </cell>
          <cell r="N466" t="str">
            <v>Own</v>
          </cell>
          <cell r="P466" t="str">
            <v>Skilled</v>
          </cell>
          <cell r="S466" t="str">
            <v>Yes</v>
          </cell>
        </row>
        <row r="467">
          <cell r="C467" t="str">
            <v>Existing Paid</v>
          </cell>
          <cell r="D467" t="str">
            <v>Used Car</v>
          </cell>
          <cell r="E467">
            <v>321640</v>
          </cell>
          <cell r="F467" t="str">
            <v>Less than 10000</v>
          </cell>
          <cell r="G467" t="str">
            <v>1-4 Years</v>
          </cell>
          <cell r="I467" t="str">
            <v>Male</v>
          </cell>
          <cell r="N467" t="str">
            <v>Own</v>
          </cell>
          <cell r="P467" t="str">
            <v>Skilled</v>
          </cell>
          <cell r="S467" t="str">
            <v>Yes</v>
          </cell>
        </row>
        <row r="468">
          <cell r="C468" t="str">
            <v>Delayed Previously</v>
          </cell>
          <cell r="D468" t="str">
            <v>Radio/Tv</v>
          </cell>
          <cell r="E468">
            <v>182490</v>
          </cell>
          <cell r="F468" t="str">
            <v>Less than 10000</v>
          </cell>
          <cell r="G468" t="str">
            <v>Below 1Years</v>
          </cell>
          <cell r="I468" t="str">
            <v>Female</v>
          </cell>
          <cell r="N468" t="str">
            <v>Rent</v>
          </cell>
          <cell r="P468" t="str">
            <v>Unskilled Resident</v>
          </cell>
          <cell r="S468" t="str">
            <v>Yes</v>
          </cell>
        </row>
        <row r="469">
          <cell r="C469" t="str">
            <v>Delayed Previously</v>
          </cell>
          <cell r="D469" t="str">
            <v>Radio/Tv</v>
          </cell>
          <cell r="E469">
            <v>796180</v>
          </cell>
          <cell r="F469" t="str">
            <v>No Savings</v>
          </cell>
          <cell r="G469" t="str">
            <v>7 Years</v>
          </cell>
          <cell r="I469" t="str">
            <v>Male</v>
          </cell>
          <cell r="N469" t="str">
            <v>Own</v>
          </cell>
          <cell r="P469" t="str">
            <v>Skilled</v>
          </cell>
          <cell r="S469" t="str">
            <v>Yes</v>
          </cell>
        </row>
        <row r="470">
          <cell r="C470" t="str">
            <v>Delayed Previously</v>
          </cell>
          <cell r="D470" t="str">
            <v>Business</v>
          </cell>
          <cell r="E470">
            <v>304040</v>
          </cell>
          <cell r="F470" t="str">
            <v>Less than 10000</v>
          </cell>
          <cell r="G470" t="str">
            <v>1-4 Years</v>
          </cell>
          <cell r="I470" t="str">
            <v>Female</v>
          </cell>
          <cell r="N470" t="str">
            <v>Own</v>
          </cell>
          <cell r="P470" t="str">
            <v>Skilled</v>
          </cell>
          <cell r="S470" t="str">
            <v>Yes</v>
          </cell>
        </row>
        <row r="471">
          <cell r="C471" t="str">
            <v>Delayed Previously</v>
          </cell>
          <cell r="D471" t="str">
            <v>Used Car</v>
          </cell>
          <cell r="E471">
            <v>514690</v>
          </cell>
          <cell r="F471" t="str">
            <v>Less than 10000</v>
          </cell>
          <cell r="G471" t="str">
            <v>4-6 Years</v>
          </cell>
          <cell r="I471" t="str">
            <v>Male</v>
          </cell>
          <cell r="N471" t="str">
            <v>Own</v>
          </cell>
          <cell r="P471" t="str">
            <v>Unskilled Resident</v>
          </cell>
          <cell r="S471" t="str">
            <v>Yes</v>
          </cell>
        </row>
        <row r="472">
          <cell r="C472" t="str">
            <v>Existing Paid</v>
          </cell>
          <cell r="D472" t="str">
            <v>Radio/Tv</v>
          </cell>
          <cell r="E472">
            <v>340120</v>
          </cell>
          <cell r="F472" t="str">
            <v>10000 - 49999</v>
          </cell>
          <cell r="G472" t="str">
            <v>Below 1Years</v>
          </cell>
          <cell r="I472" t="str">
            <v>Male</v>
          </cell>
          <cell r="N472" t="str">
            <v>Rent</v>
          </cell>
          <cell r="P472" t="str">
            <v>Skilled</v>
          </cell>
          <cell r="S472" t="str">
            <v>Yes</v>
          </cell>
        </row>
        <row r="473">
          <cell r="C473" t="str">
            <v>Existing Paid</v>
          </cell>
          <cell r="D473" t="str">
            <v>Education</v>
          </cell>
          <cell r="E473">
            <v>49280</v>
          </cell>
          <cell r="F473" t="str">
            <v>Less than 10000</v>
          </cell>
          <cell r="G473" t="str">
            <v>Below 1Years</v>
          </cell>
          <cell r="I473" t="str">
            <v>Female</v>
          </cell>
          <cell r="N473" t="str">
            <v>Own</v>
          </cell>
          <cell r="P473" t="str">
            <v>Skilled</v>
          </cell>
          <cell r="S473" t="str">
            <v>Yes</v>
          </cell>
        </row>
        <row r="474">
          <cell r="C474" t="str">
            <v>Existing Paid</v>
          </cell>
          <cell r="D474" t="str">
            <v>New Car</v>
          </cell>
          <cell r="E474">
            <v>71940</v>
          </cell>
          <cell r="F474" t="str">
            <v>Less than 10000</v>
          </cell>
          <cell r="G474" t="str">
            <v>1-4 Years</v>
          </cell>
          <cell r="I474" t="str">
            <v>Male</v>
          </cell>
          <cell r="N474" t="str">
            <v>Own</v>
          </cell>
          <cell r="P474" t="str">
            <v>Unskilled Resident</v>
          </cell>
          <cell r="S474" t="str">
            <v>Yes</v>
          </cell>
        </row>
        <row r="475">
          <cell r="C475" t="str">
            <v>Existing Paid</v>
          </cell>
          <cell r="D475" t="str">
            <v>Retraining</v>
          </cell>
          <cell r="E475">
            <v>136180</v>
          </cell>
          <cell r="F475" t="str">
            <v>No Savings</v>
          </cell>
          <cell r="G475" t="str">
            <v>Unemployed</v>
          </cell>
          <cell r="I475" t="str">
            <v>Male</v>
          </cell>
          <cell r="N475" t="str">
            <v>Own</v>
          </cell>
          <cell r="P475" t="str">
            <v>High Qualif/Self Emp/Mgmt</v>
          </cell>
          <cell r="S475" t="str">
            <v>Yes</v>
          </cell>
        </row>
        <row r="476">
          <cell r="C476" t="str">
            <v>Critical/Other Existing Credit</v>
          </cell>
          <cell r="D476" t="str">
            <v>Radio/Tv</v>
          </cell>
          <cell r="E476">
            <v>136950</v>
          </cell>
          <cell r="F476" t="str">
            <v>Less than 10000</v>
          </cell>
          <cell r="G476" t="str">
            <v>1-4 Years</v>
          </cell>
          <cell r="I476" t="str">
            <v>Male</v>
          </cell>
          <cell r="N476" t="str">
            <v>Own</v>
          </cell>
          <cell r="P476" t="str">
            <v>Skilled</v>
          </cell>
          <cell r="S476" t="str">
            <v>Yes</v>
          </cell>
        </row>
        <row r="477">
          <cell r="C477" t="str">
            <v>No Credits/All Paid</v>
          </cell>
          <cell r="D477" t="str">
            <v>Furniture/Equipment</v>
          </cell>
          <cell r="E477">
            <v>342540</v>
          </cell>
          <cell r="F477" t="str">
            <v>Less than 10000</v>
          </cell>
          <cell r="G477" t="str">
            <v>Below 1Years</v>
          </cell>
          <cell r="I477" t="str">
            <v>Female</v>
          </cell>
          <cell r="N477" t="str">
            <v>Rent</v>
          </cell>
          <cell r="P477" t="str">
            <v>Skilled</v>
          </cell>
          <cell r="S477" t="str">
            <v>Yes</v>
          </cell>
        </row>
        <row r="478">
          <cell r="C478" t="str">
            <v>Existing Paid</v>
          </cell>
          <cell r="D478" t="str">
            <v>Used Car</v>
          </cell>
          <cell r="E478">
            <v>282590</v>
          </cell>
          <cell r="F478" t="str">
            <v>50000 - 99999</v>
          </cell>
          <cell r="G478" t="str">
            <v>1-4 Years</v>
          </cell>
          <cell r="I478" t="str">
            <v>Male</v>
          </cell>
          <cell r="N478" t="str">
            <v>Own</v>
          </cell>
          <cell r="P478" t="str">
            <v>Skilled</v>
          </cell>
          <cell r="S478" t="str">
            <v>Yes</v>
          </cell>
        </row>
        <row r="479">
          <cell r="C479" t="str">
            <v>Existing Paid</v>
          </cell>
          <cell r="D479" t="str">
            <v>Radio/Tv</v>
          </cell>
          <cell r="E479">
            <v>566720</v>
          </cell>
          <cell r="F479" t="str">
            <v>Less than 10000</v>
          </cell>
          <cell r="G479" t="str">
            <v>4-6 Years</v>
          </cell>
          <cell r="I479" t="str">
            <v>Male</v>
          </cell>
          <cell r="N479" t="str">
            <v>Own</v>
          </cell>
          <cell r="P479" t="str">
            <v>Skilled</v>
          </cell>
          <cell r="S479" t="str">
            <v>Yes</v>
          </cell>
        </row>
        <row r="480">
          <cell r="C480" t="str">
            <v>Existing Paid</v>
          </cell>
          <cell r="D480" t="str">
            <v>Business</v>
          </cell>
          <cell r="E480">
            <v>114070</v>
          </cell>
          <cell r="F480" t="str">
            <v>10000 - 49999</v>
          </cell>
          <cell r="G480" t="str">
            <v>4-6 Years</v>
          </cell>
          <cell r="I480" t="str">
            <v>Male</v>
          </cell>
          <cell r="N480" t="str">
            <v>Own</v>
          </cell>
          <cell r="P480" t="str">
            <v>Unskilled Resident</v>
          </cell>
          <cell r="S480" t="str">
            <v>Yes</v>
          </cell>
        </row>
        <row r="481">
          <cell r="C481" t="str">
            <v>Critical/Other Existing Credit</v>
          </cell>
          <cell r="D481" t="str">
            <v>Furniture/Equipment</v>
          </cell>
          <cell r="E481">
            <v>162580</v>
          </cell>
          <cell r="F481" t="str">
            <v>Less than 10000</v>
          </cell>
          <cell r="G481" t="str">
            <v>7 Years</v>
          </cell>
          <cell r="I481" t="str">
            <v>Male</v>
          </cell>
          <cell r="N481" t="str">
            <v>Own</v>
          </cell>
          <cell r="P481" t="str">
            <v>Skilled</v>
          </cell>
          <cell r="S481" t="str">
            <v>Yes</v>
          </cell>
        </row>
        <row r="482">
          <cell r="C482" t="str">
            <v>Critical/Other Existing Credit</v>
          </cell>
          <cell r="D482" t="str">
            <v>Radio/Tv</v>
          </cell>
          <cell r="E482">
            <v>393030</v>
          </cell>
          <cell r="F482" t="str">
            <v>Less than 10000</v>
          </cell>
          <cell r="G482" t="str">
            <v>1-4 Years</v>
          </cell>
          <cell r="I482" t="str">
            <v>Female</v>
          </cell>
          <cell r="N482" t="str">
            <v>Own</v>
          </cell>
          <cell r="P482" t="str">
            <v>Unskilled Resident</v>
          </cell>
          <cell r="S482" t="str">
            <v>Yes</v>
          </cell>
        </row>
        <row r="483">
          <cell r="C483" t="str">
            <v>Existing Paid</v>
          </cell>
          <cell r="D483" t="str">
            <v>New Car</v>
          </cell>
          <cell r="E483">
            <v>132110</v>
          </cell>
          <cell r="F483" t="str">
            <v>Less than 10000</v>
          </cell>
          <cell r="G483" t="str">
            <v>Below 1Years</v>
          </cell>
          <cell r="I483" t="str">
            <v>Male</v>
          </cell>
          <cell r="N483" t="str">
            <v>Own</v>
          </cell>
          <cell r="P483" t="str">
            <v>Skilled</v>
          </cell>
          <cell r="S483" t="str">
            <v>Yes</v>
          </cell>
        </row>
        <row r="484">
          <cell r="C484" t="str">
            <v>Existing Paid</v>
          </cell>
          <cell r="D484" t="str">
            <v>Furniture/Equipment</v>
          </cell>
          <cell r="E484">
            <v>398420</v>
          </cell>
          <cell r="F484" t="str">
            <v>1,00000 or Above</v>
          </cell>
          <cell r="G484" t="str">
            <v>7 Years</v>
          </cell>
          <cell r="I484" t="str">
            <v>Female</v>
          </cell>
          <cell r="N484" t="str">
            <v>Rent</v>
          </cell>
          <cell r="P484" t="str">
            <v>Skilled</v>
          </cell>
          <cell r="S484" t="str">
            <v>Yes</v>
          </cell>
        </row>
        <row r="485">
          <cell r="C485" t="str">
            <v>Delayed Previously</v>
          </cell>
          <cell r="D485" t="str">
            <v>Furniture/Equipment</v>
          </cell>
          <cell r="E485">
            <v>105600</v>
          </cell>
          <cell r="F485" t="str">
            <v>1,00000 or Above</v>
          </cell>
          <cell r="G485" t="str">
            <v>4-6 Years</v>
          </cell>
          <cell r="I485" t="str">
            <v>Female</v>
          </cell>
          <cell r="N485" t="str">
            <v>Own</v>
          </cell>
          <cell r="P485" t="str">
            <v>Skilled</v>
          </cell>
          <cell r="S485" t="str">
            <v>Yes</v>
          </cell>
        </row>
        <row r="486">
          <cell r="C486" t="str">
            <v>Critical/Other Existing Credit</v>
          </cell>
          <cell r="D486" t="str">
            <v>New Car</v>
          </cell>
          <cell r="E486">
            <v>127930</v>
          </cell>
          <cell r="F486" t="str">
            <v>50000 - 99999</v>
          </cell>
          <cell r="G486" t="str">
            <v>1-4 Years</v>
          </cell>
          <cell r="I486" t="str">
            <v>Male</v>
          </cell>
          <cell r="N486" t="str">
            <v>Own</v>
          </cell>
          <cell r="P486" t="str">
            <v>Skilled</v>
          </cell>
          <cell r="S486" t="str">
            <v>Yes</v>
          </cell>
        </row>
        <row r="487">
          <cell r="C487" t="str">
            <v>Delayed Previously</v>
          </cell>
          <cell r="D487" t="str">
            <v>New Car</v>
          </cell>
          <cell r="E487">
            <v>132990</v>
          </cell>
          <cell r="F487" t="str">
            <v>Less than 10000</v>
          </cell>
          <cell r="G487" t="str">
            <v>Unemployed</v>
          </cell>
          <cell r="I487" t="str">
            <v>Male</v>
          </cell>
          <cell r="N487" t="str">
            <v>Own</v>
          </cell>
          <cell r="P487" t="str">
            <v>High Qualif/Self Emp/Mgmt</v>
          </cell>
          <cell r="S487" t="str">
            <v>Yes</v>
          </cell>
        </row>
        <row r="488">
          <cell r="C488" t="str">
            <v>Existing Paid</v>
          </cell>
          <cell r="D488" t="str">
            <v>Radio/Tv</v>
          </cell>
          <cell r="E488">
            <v>338470</v>
          </cell>
          <cell r="F488" t="str">
            <v>Less than 10000</v>
          </cell>
          <cell r="G488" t="str">
            <v>1-4 Years</v>
          </cell>
          <cell r="I488" t="str">
            <v>Male</v>
          </cell>
          <cell r="N488" t="str">
            <v>Own</v>
          </cell>
          <cell r="P488" t="str">
            <v>Skilled</v>
          </cell>
          <cell r="S488" t="str">
            <v>Yes</v>
          </cell>
        </row>
        <row r="489">
          <cell r="C489" t="str">
            <v>Existing Paid</v>
          </cell>
          <cell r="D489" t="str">
            <v>New Car</v>
          </cell>
          <cell r="E489">
            <v>413270</v>
          </cell>
          <cell r="F489" t="str">
            <v>Less than 10000</v>
          </cell>
          <cell r="G489" t="str">
            <v>7 Years</v>
          </cell>
          <cell r="I489" t="str">
            <v>Female</v>
          </cell>
          <cell r="N489" t="str">
            <v>For Free</v>
          </cell>
          <cell r="P489" t="str">
            <v>Skilled</v>
          </cell>
          <cell r="S489" t="str">
            <v>Yes</v>
          </cell>
        </row>
        <row r="490">
          <cell r="C490" t="str">
            <v>Existing Paid</v>
          </cell>
          <cell r="D490" t="str">
            <v>New Car</v>
          </cell>
          <cell r="E490">
            <v>155980</v>
          </cell>
          <cell r="F490" t="str">
            <v>10000 - 49999</v>
          </cell>
          <cell r="G490" t="str">
            <v>1-4 Years</v>
          </cell>
          <cell r="I490" t="str">
            <v>Male</v>
          </cell>
          <cell r="N490" t="str">
            <v>Rent</v>
          </cell>
          <cell r="P490" t="str">
            <v>Unskilled Resident</v>
          </cell>
          <cell r="S490" t="str">
            <v>No</v>
          </cell>
        </row>
        <row r="491">
          <cell r="C491" t="str">
            <v>Existing Paid</v>
          </cell>
          <cell r="D491" t="str">
            <v>New Car</v>
          </cell>
          <cell r="E491">
            <v>386980</v>
          </cell>
          <cell r="F491" t="str">
            <v>Less than 10000</v>
          </cell>
          <cell r="G491" t="str">
            <v>1-4 Years</v>
          </cell>
          <cell r="I491" t="str">
            <v>Male</v>
          </cell>
          <cell r="N491" t="str">
            <v>Rent</v>
          </cell>
          <cell r="P491" t="str">
            <v>Skilled</v>
          </cell>
          <cell r="S491" t="str">
            <v>Yes</v>
          </cell>
        </row>
        <row r="492">
          <cell r="C492" t="str">
            <v>Critical/Other Existing Credit</v>
          </cell>
          <cell r="D492" t="str">
            <v>Radio/Tv</v>
          </cell>
          <cell r="E492">
            <v>212740</v>
          </cell>
          <cell r="F492" t="str">
            <v>Less than 10000</v>
          </cell>
          <cell r="G492" t="str">
            <v>7 Years</v>
          </cell>
          <cell r="I492" t="str">
            <v>Male</v>
          </cell>
          <cell r="N492" t="str">
            <v>Own</v>
          </cell>
          <cell r="P492" t="str">
            <v>Skilled</v>
          </cell>
          <cell r="S492" t="str">
            <v>Yes</v>
          </cell>
        </row>
        <row r="493">
          <cell r="C493" t="str">
            <v>No Credits/All Paid</v>
          </cell>
          <cell r="D493" t="str">
            <v>Business</v>
          </cell>
          <cell r="E493">
            <v>914980</v>
          </cell>
          <cell r="F493" t="str">
            <v>Less than 10000</v>
          </cell>
          <cell r="G493" t="str">
            <v>7 Years</v>
          </cell>
          <cell r="I493" t="str">
            <v>Female</v>
          </cell>
          <cell r="N493" t="str">
            <v>For Free</v>
          </cell>
          <cell r="P493" t="str">
            <v>High Qualif/Self Emp/Mgmt</v>
          </cell>
          <cell r="S493" t="str">
            <v>Yes</v>
          </cell>
        </row>
        <row r="494">
          <cell r="C494" t="str">
            <v>Critical/Other Existing Credit</v>
          </cell>
          <cell r="D494" t="str">
            <v>Radio/Tv</v>
          </cell>
          <cell r="E494">
            <v>136070</v>
          </cell>
          <cell r="F494" t="str">
            <v>10000 - 49999</v>
          </cell>
          <cell r="G494" t="str">
            <v>1-4 Years</v>
          </cell>
          <cell r="I494" t="str">
            <v>Female</v>
          </cell>
          <cell r="N494" t="str">
            <v>Own</v>
          </cell>
          <cell r="P494" t="str">
            <v>Skilled</v>
          </cell>
          <cell r="S494" t="str">
            <v>Yes</v>
          </cell>
        </row>
        <row r="495">
          <cell r="C495" t="str">
            <v>Existing Paid</v>
          </cell>
          <cell r="D495" t="str">
            <v>Radio/Tv</v>
          </cell>
          <cell r="E495">
            <v>40480</v>
          </cell>
          <cell r="F495" t="str">
            <v>No Savings</v>
          </cell>
          <cell r="G495" t="str">
            <v>7 Years</v>
          </cell>
          <cell r="I495" t="str">
            <v>Male</v>
          </cell>
          <cell r="N495" t="str">
            <v>Own</v>
          </cell>
          <cell r="P495" t="str">
            <v>Skilled</v>
          </cell>
          <cell r="S495" t="str">
            <v>Yes</v>
          </cell>
        </row>
        <row r="496">
          <cell r="C496" t="str">
            <v>Critical/Other Existing Credit</v>
          </cell>
          <cell r="D496" t="str">
            <v>New Car</v>
          </cell>
          <cell r="E496">
            <v>233420</v>
          </cell>
          <cell r="F496" t="str">
            <v>Less than 10000</v>
          </cell>
          <cell r="G496" t="str">
            <v>1-4 Years</v>
          </cell>
          <cell r="I496" t="str">
            <v>Male</v>
          </cell>
          <cell r="N496" t="str">
            <v>Rent</v>
          </cell>
          <cell r="P496" t="str">
            <v>Unskilled Resident</v>
          </cell>
          <cell r="S496" t="str">
            <v>No</v>
          </cell>
        </row>
        <row r="497">
          <cell r="C497" t="str">
            <v>Existing Paid</v>
          </cell>
          <cell r="D497" t="str">
            <v>Furniture/Equipment</v>
          </cell>
          <cell r="E497">
            <v>329560</v>
          </cell>
          <cell r="F497" t="str">
            <v>No Savings</v>
          </cell>
          <cell r="G497" t="str">
            <v>1-4 Years</v>
          </cell>
          <cell r="I497" t="str">
            <v>Male</v>
          </cell>
          <cell r="N497" t="str">
            <v>Own</v>
          </cell>
          <cell r="P497" t="str">
            <v>Skilled</v>
          </cell>
          <cell r="S497" t="str">
            <v>Yes</v>
          </cell>
        </row>
        <row r="498">
          <cell r="C498" t="str">
            <v>Existing Paid</v>
          </cell>
          <cell r="D498" t="str">
            <v>Furniture/Equipment</v>
          </cell>
          <cell r="E498">
            <v>993740</v>
          </cell>
          <cell r="F498" t="str">
            <v>10000 - 49999</v>
          </cell>
          <cell r="G498" t="str">
            <v>Below 1Years</v>
          </cell>
          <cell r="I498" t="str">
            <v>Male</v>
          </cell>
          <cell r="N498" t="str">
            <v>Rent</v>
          </cell>
          <cell r="P498" t="str">
            <v>High Qualif/Self Emp/Mgmt</v>
          </cell>
          <cell r="S498" t="str">
            <v>Yes</v>
          </cell>
        </row>
        <row r="499">
          <cell r="C499" t="str">
            <v>Critical/Other Existing Credit</v>
          </cell>
          <cell r="D499" t="str">
            <v>Furniture/Equipment</v>
          </cell>
          <cell r="E499">
            <v>174350</v>
          </cell>
          <cell r="F499" t="str">
            <v>Less than 10000</v>
          </cell>
          <cell r="G499" t="str">
            <v>4-6 Years</v>
          </cell>
          <cell r="I499" t="str">
            <v>Male</v>
          </cell>
          <cell r="N499" t="str">
            <v>Own</v>
          </cell>
          <cell r="P499" t="str">
            <v>Skilled</v>
          </cell>
          <cell r="S499" t="str">
            <v>Yes</v>
          </cell>
        </row>
        <row r="500">
          <cell r="C500" t="str">
            <v>Existing Paid</v>
          </cell>
          <cell r="D500" t="str">
            <v>Radio/Tv</v>
          </cell>
          <cell r="E500">
            <v>143110</v>
          </cell>
          <cell r="F500" t="str">
            <v>Less than 10000</v>
          </cell>
          <cell r="G500" t="str">
            <v>7 Years</v>
          </cell>
          <cell r="I500" t="str">
            <v>Male</v>
          </cell>
          <cell r="N500" t="str">
            <v>Own</v>
          </cell>
          <cell r="P500" t="str">
            <v>Unskilled Resident</v>
          </cell>
          <cell r="S500" t="str">
            <v>Yes</v>
          </cell>
        </row>
        <row r="501">
          <cell r="C501" t="str">
            <v>Critical/Other Existing Credit</v>
          </cell>
          <cell r="D501" t="str">
            <v>New Car</v>
          </cell>
          <cell r="E501">
            <v>145530</v>
          </cell>
          <cell r="F501" t="str">
            <v>10000 - 49999</v>
          </cell>
          <cell r="G501" t="str">
            <v>7 Years</v>
          </cell>
          <cell r="I501" t="str">
            <v>Male</v>
          </cell>
          <cell r="N501" t="str">
            <v>Own</v>
          </cell>
          <cell r="P501" t="str">
            <v>Skilled</v>
          </cell>
          <cell r="S501" t="str">
            <v>Yes</v>
          </cell>
        </row>
        <row r="502">
          <cell r="C502" t="str">
            <v>Existing Paid</v>
          </cell>
          <cell r="D502" t="str">
            <v>New Car</v>
          </cell>
          <cell r="E502">
            <v>343530</v>
          </cell>
          <cell r="F502" t="str">
            <v>Less than 10000</v>
          </cell>
          <cell r="G502" t="str">
            <v>Below 1Years</v>
          </cell>
          <cell r="I502" t="str">
            <v>Female</v>
          </cell>
          <cell r="N502" t="str">
            <v>Own</v>
          </cell>
          <cell r="P502" t="str">
            <v>Skilled</v>
          </cell>
          <cell r="S502" t="str">
            <v>Yes</v>
          </cell>
        </row>
        <row r="503">
          <cell r="C503" t="str">
            <v>Existing Paid</v>
          </cell>
          <cell r="D503" t="str">
            <v>Used Car</v>
          </cell>
          <cell r="E503">
            <v>604230</v>
          </cell>
          <cell r="F503" t="str">
            <v>Less than 10000</v>
          </cell>
          <cell r="G503" t="str">
            <v>7 Years</v>
          </cell>
          <cell r="I503" t="str">
            <v>Male</v>
          </cell>
          <cell r="N503" t="str">
            <v>For Free</v>
          </cell>
          <cell r="P503" t="str">
            <v>Skilled</v>
          </cell>
          <cell r="S503" t="str">
            <v>Yes</v>
          </cell>
        </row>
        <row r="504">
          <cell r="C504" t="str">
            <v>Existing Paid</v>
          </cell>
          <cell r="D504" t="str">
            <v>Radio/Tv</v>
          </cell>
          <cell r="E504">
            <v>123860</v>
          </cell>
          <cell r="F504" t="str">
            <v>10000 - 49999</v>
          </cell>
          <cell r="G504" t="str">
            <v>7 Years</v>
          </cell>
          <cell r="I504" t="str">
            <v>Male</v>
          </cell>
          <cell r="N504" t="str">
            <v>Own</v>
          </cell>
          <cell r="P504" t="str">
            <v>Skilled</v>
          </cell>
          <cell r="S504" t="str">
            <v>Yes</v>
          </cell>
        </row>
        <row r="505">
          <cell r="C505" t="str">
            <v>Critical/Other Existing Credit</v>
          </cell>
          <cell r="D505" t="str">
            <v>Radio/Tv</v>
          </cell>
          <cell r="E505">
            <v>133760</v>
          </cell>
          <cell r="F505" t="str">
            <v>10000 - 49999</v>
          </cell>
          <cell r="G505" t="str">
            <v>Below 1Years</v>
          </cell>
          <cell r="I505" t="str">
            <v>Male</v>
          </cell>
          <cell r="N505" t="str">
            <v>Own</v>
          </cell>
          <cell r="P505" t="str">
            <v>Skilled</v>
          </cell>
          <cell r="S505" t="str">
            <v>Yes</v>
          </cell>
        </row>
        <row r="506">
          <cell r="C506" t="str">
            <v>Existing Paid</v>
          </cell>
          <cell r="D506" t="str">
            <v>New Car</v>
          </cell>
          <cell r="E506">
            <v>132770</v>
          </cell>
          <cell r="F506" t="str">
            <v>Less than 10000</v>
          </cell>
          <cell r="G506" t="str">
            <v>Below 1Years</v>
          </cell>
          <cell r="I506" t="str">
            <v>Female</v>
          </cell>
          <cell r="N506" t="str">
            <v>Rent</v>
          </cell>
          <cell r="P506" t="str">
            <v>Skilled</v>
          </cell>
          <cell r="S506" t="str">
            <v>Yes</v>
          </cell>
        </row>
        <row r="507">
          <cell r="C507" t="str">
            <v>Existing Paid</v>
          </cell>
          <cell r="D507" t="str">
            <v>New Car</v>
          </cell>
          <cell r="E507">
            <v>143990</v>
          </cell>
          <cell r="F507" t="str">
            <v>No Savings</v>
          </cell>
          <cell r="G507" t="str">
            <v>1-4 Years</v>
          </cell>
          <cell r="I507" t="str">
            <v>Male</v>
          </cell>
          <cell r="N507" t="str">
            <v>Own</v>
          </cell>
          <cell r="P507" t="str">
            <v>Unskilled Resident</v>
          </cell>
          <cell r="S507" t="str">
            <v>Yes</v>
          </cell>
        </row>
        <row r="508">
          <cell r="C508" t="str">
            <v>Critical/Other Existing Credit</v>
          </cell>
          <cell r="D508" t="str">
            <v>Used Car</v>
          </cell>
          <cell r="E508">
            <v>259600</v>
          </cell>
          <cell r="F508" t="str">
            <v>50000 - 99999</v>
          </cell>
          <cell r="G508" t="str">
            <v>1-4 Years</v>
          </cell>
          <cell r="I508" t="str">
            <v>Male</v>
          </cell>
          <cell r="N508" t="str">
            <v>Own</v>
          </cell>
          <cell r="P508" t="str">
            <v>Skilled</v>
          </cell>
          <cell r="S508" t="str">
            <v>Yes</v>
          </cell>
        </row>
        <row r="509">
          <cell r="C509" t="str">
            <v>All Paid</v>
          </cell>
          <cell r="D509" t="str">
            <v>New Car</v>
          </cell>
          <cell r="E509">
            <v>753500</v>
          </cell>
          <cell r="F509" t="str">
            <v>10000 - 49999</v>
          </cell>
          <cell r="G509" t="str">
            <v>Unemployed</v>
          </cell>
          <cell r="I509" t="str">
            <v>Male</v>
          </cell>
          <cell r="N509" t="str">
            <v>Own</v>
          </cell>
          <cell r="P509" t="str">
            <v>High Qualif/Self Emp/Mgmt</v>
          </cell>
          <cell r="S509" t="str">
            <v>Yes</v>
          </cell>
        </row>
        <row r="510">
          <cell r="C510" t="str">
            <v>Existing Paid</v>
          </cell>
          <cell r="D510" t="str">
            <v>Radio/Tv</v>
          </cell>
          <cell r="E510">
            <v>155430</v>
          </cell>
          <cell r="F510" t="str">
            <v>Less than 10000</v>
          </cell>
          <cell r="G510" t="str">
            <v>1-4 Years</v>
          </cell>
          <cell r="I510" t="str">
            <v>Male</v>
          </cell>
          <cell r="N510" t="str">
            <v>Own</v>
          </cell>
          <cell r="P510" t="str">
            <v>Skilled</v>
          </cell>
          <cell r="S510" t="str">
            <v>Yes</v>
          </cell>
        </row>
        <row r="511">
          <cell r="C511" t="str">
            <v>Existing Paid</v>
          </cell>
          <cell r="D511" t="str">
            <v>Used Car</v>
          </cell>
          <cell r="E511">
            <v>944680</v>
          </cell>
          <cell r="F511" t="str">
            <v>10000 - 49999</v>
          </cell>
          <cell r="G511" t="str">
            <v>7 Years</v>
          </cell>
          <cell r="I511" t="str">
            <v>Male</v>
          </cell>
          <cell r="N511" t="str">
            <v>Own</v>
          </cell>
          <cell r="P511" t="str">
            <v>High Qualif/Self Emp/Mgmt</v>
          </cell>
          <cell r="S511" t="str">
            <v>Yes</v>
          </cell>
        </row>
        <row r="512">
          <cell r="C512" t="str">
            <v>Existing Paid</v>
          </cell>
          <cell r="D512" t="str">
            <v>New Car</v>
          </cell>
          <cell r="E512">
            <v>83490</v>
          </cell>
          <cell r="F512" t="str">
            <v>Less than 10000</v>
          </cell>
          <cell r="G512" t="str">
            <v>4-6 Years</v>
          </cell>
          <cell r="I512" t="str">
            <v>Male</v>
          </cell>
          <cell r="N512" t="str">
            <v>Own</v>
          </cell>
          <cell r="P512" t="str">
            <v>Skilled</v>
          </cell>
          <cell r="S512" t="str">
            <v>Yes</v>
          </cell>
        </row>
        <row r="513">
          <cell r="C513" t="str">
            <v>Existing Paid</v>
          </cell>
          <cell r="D513" t="str">
            <v>Used Car</v>
          </cell>
          <cell r="E513">
            <v>515460</v>
          </cell>
          <cell r="F513" t="str">
            <v>Less than 10000</v>
          </cell>
          <cell r="G513" t="str">
            <v>1-4 Years</v>
          </cell>
          <cell r="I513" t="str">
            <v>Male</v>
          </cell>
          <cell r="N513" t="str">
            <v>For Free</v>
          </cell>
          <cell r="P513" t="str">
            <v>High Qualif/Self Emp/Mgmt</v>
          </cell>
          <cell r="S513" t="str">
            <v>Yes</v>
          </cell>
        </row>
        <row r="514">
          <cell r="C514" t="str">
            <v>Existing Paid</v>
          </cell>
          <cell r="D514" t="str">
            <v>Business</v>
          </cell>
          <cell r="E514">
            <v>295570</v>
          </cell>
          <cell r="F514" t="str">
            <v>Less than 10000</v>
          </cell>
          <cell r="G514" t="str">
            <v>4-6 Years</v>
          </cell>
          <cell r="I514" t="str">
            <v>Male</v>
          </cell>
          <cell r="N514" t="str">
            <v>Rent</v>
          </cell>
          <cell r="P514" t="str">
            <v>Skilled</v>
          </cell>
          <cell r="S514" t="str">
            <v>Yes</v>
          </cell>
        </row>
        <row r="515">
          <cell r="C515" t="str">
            <v>Delayed Previously</v>
          </cell>
          <cell r="D515" t="str">
            <v>Radio/Tv</v>
          </cell>
          <cell r="E515">
            <v>64350</v>
          </cell>
          <cell r="F515" t="str">
            <v>Less than 10000</v>
          </cell>
          <cell r="G515" t="str">
            <v>1-4 Years</v>
          </cell>
          <cell r="I515" t="str">
            <v>Male</v>
          </cell>
          <cell r="N515" t="str">
            <v>Rent</v>
          </cell>
          <cell r="P515" t="str">
            <v>Skilled</v>
          </cell>
          <cell r="S515" t="str">
            <v>Yes</v>
          </cell>
        </row>
        <row r="516">
          <cell r="C516" t="str">
            <v>Existing Paid</v>
          </cell>
          <cell r="D516" t="str">
            <v>New Car</v>
          </cell>
          <cell r="E516">
            <v>248050</v>
          </cell>
          <cell r="F516" t="str">
            <v>No Savings</v>
          </cell>
          <cell r="G516" t="str">
            <v>Below 1Years</v>
          </cell>
          <cell r="I516" t="str">
            <v>Male</v>
          </cell>
          <cell r="N516" t="str">
            <v>Own</v>
          </cell>
          <cell r="P516" t="str">
            <v>Skilled</v>
          </cell>
          <cell r="S516" t="str">
            <v>Yes</v>
          </cell>
        </row>
        <row r="517">
          <cell r="C517" t="str">
            <v>Critical/Other Existing Credit</v>
          </cell>
          <cell r="D517" t="str">
            <v>New Car</v>
          </cell>
          <cell r="E517">
            <v>66990</v>
          </cell>
          <cell r="F517" t="str">
            <v>Less than 10000</v>
          </cell>
          <cell r="G517" t="str">
            <v>4-6 Years</v>
          </cell>
          <cell r="I517" t="str">
            <v>Female</v>
          </cell>
          <cell r="N517" t="str">
            <v>Own</v>
          </cell>
          <cell r="P517" t="str">
            <v>Skilled</v>
          </cell>
          <cell r="S517" t="str">
            <v>No</v>
          </cell>
        </row>
        <row r="518">
          <cell r="C518" t="str">
            <v>Critical/Other Existing Credit</v>
          </cell>
          <cell r="D518" t="str">
            <v>New Car</v>
          </cell>
          <cell r="E518">
            <v>149710</v>
          </cell>
          <cell r="F518" t="str">
            <v>Less than 10000</v>
          </cell>
          <cell r="G518" t="str">
            <v>Below 1Years</v>
          </cell>
          <cell r="I518" t="str">
            <v>Male</v>
          </cell>
          <cell r="N518" t="str">
            <v>Own</v>
          </cell>
          <cell r="P518" t="str">
            <v>Unskilled Resident</v>
          </cell>
          <cell r="S518" t="str">
            <v>No</v>
          </cell>
        </row>
        <row r="519">
          <cell r="C519" t="str">
            <v>Critical/Other Existing Credit</v>
          </cell>
          <cell r="D519" t="str">
            <v>Furniture/Equipment</v>
          </cell>
          <cell r="E519">
            <v>783970</v>
          </cell>
          <cell r="F519" t="str">
            <v>Less than 10000</v>
          </cell>
          <cell r="G519" t="str">
            <v>Below 1Years</v>
          </cell>
          <cell r="I519" t="str">
            <v>Female</v>
          </cell>
          <cell r="N519" t="str">
            <v>Rent</v>
          </cell>
          <cell r="P519" t="str">
            <v>Skilled</v>
          </cell>
          <cell r="S519" t="str">
            <v>Yes</v>
          </cell>
        </row>
        <row r="520">
          <cell r="C520" t="str">
            <v>Existing Paid</v>
          </cell>
          <cell r="D520" t="str">
            <v>New Car</v>
          </cell>
          <cell r="E520">
            <v>132330</v>
          </cell>
          <cell r="F520" t="str">
            <v>10000 - 49999</v>
          </cell>
          <cell r="G520" t="str">
            <v>7 Years</v>
          </cell>
          <cell r="I520" t="str">
            <v>Male</v>
          </cell>
          <cell r="N520" t="str">
            <v>Own</v>
          </cell>
          <cell r="P520" t="str">
            <v>Skilled</v>
          </cell>
          <cell r="S520" t="str">
            <v>Yes</v>
          </cell>
        </row>
        <row r="521">
          <cell r="C521" t="str">
            <v>Critical/Other Existing Credit</v>
          </cell>
          <cell r="D521" t="str">
            <v>Radio/Tv</v>
          </cell>
          <cell r="E521">
            <v>77000</v>
          </cell>
          <cell r="F521" t="str">
            <v>No Savings</v>
          </cell>
          <cell r="G521" t="str">
            <v>7 Years</v>
          </cell>
          <cell r="I521" t="str">
            <v>Male</v>
          </cell>
          <cell r="N521" t="str">
            <v>For Free</v>
          </cell>
          <cell r="P521" t="str">
            <v>Skilled</v>
          </cell>
          <cell r="S521" t="str">
            <v>Yes</v>
          </cell>
        </row>
        <row r="522">
          <cell r="C522" t="str">
            <v>Critical/Other Existing Credit</v>
          </cell>
          <cell r="D522" t="str">
            <v>Repairs</v>
          </cell>
          <cell r="E522">
            <v>605770</v>
          </cell>
          <cell r="F522" t="str">
            <v>Less than 10000</v>
          </cell>
          <cell r="G522" t="str">
            <v>7 Years</v>
          </cell>
          <cell r="I522" t="str">
            <v>Male</v>
          </cell>
          <cell r="N522" t="str">
            <v>For Free</v>
          </cell>
          <cell r="P522" t="str">
            <v>Skilled</v>
          </cell>
          <cell r="S522" t="str">
            <v>Yes</v>
          </cell>
        </row>
        <row r="523">
          <cell r="C523" t="str">
            <v>Existing Paid</v>
          </cell>
          <cell r="D523" t="str">
            <v>Radio/Tv</v>
          </cell>
          <cell r="E523">
            <v>350900</v>
          </cell>
          <cell r="F523" t="str">
            <v>Less than 10000</v>
          </cell>
          <cell r="G523" t="str">
            <v>1-4 Years</v>
          </cell>
          <cell r="I523" t="str">
            <v>Female</v>
          </cell>
          <cell r="N523" t="str">
            <v>Own</v>
          </cell>
          <cell r="P523" t="str">
            <v>Skilled</v>
          </cell>
          <cell r="S523" t="str">
            <v>Yes</v>
          </cell>
        </row>
        <row r="524">
          <cell r="C524" t="str">
            <v>No Credits/All Paid</v>
          </cell>
          <cell r="D524" t="str">
            <v>Furniture/Equipment</v>
          </cell>
          <cell r="E524">
            <v>783090</v>
          </cell>
          <cell r="F524" t="str">
            <v>Less than 10000</v>
          </cell>
          <cell r="G524" t="str">
            <v>1-4 Years</v>
          </cell>
          <cell r="I524" t="str">
            <v>Male</v>
          </cell>
          <cell r="N524" t="str">
            <v>For Free</v>
          </cell>
          <cell r="P524" t="str">
            <v>Skilled</v>
          </cell>
          <cell r="S524" t="str">
            <v>Yes</v>
          </cell>
        </row>
        <row r="525">
          <cell r="C525" t="str">
            <v>Existing Paid</v>
          </cell>
          <cell r="D525" t="str">
            <v>Used Car</v>
          </cell>
          <cell r="E525">
            <v>383680</v>
          </cell>
          <cell r="F525" t="str">
            <v>10000 - 49999</v>
          </cell>
          <cell r="G525" t="str">
            <v>4-6 Years</v>
          </cell>
          <cell r="I525" t="str">
            <v>Female</v>
          </cell>
          <cell r="N525" t="str">
            <v>Own</v>
          </cell>
          <cell r="P525" t="str">
            <v>Skilled</v>
          </cell>
          <cell r="S525" t="str">
            <v>Yes</v>
          </cell>
        </row>
        <row r="526">
          <cell r="C526" t="str">
            <v>Existing Paid</v>
          </cell>
          <cell r="D526" t="str">
            <v>Radio/Tv</v>
          </cell>
          <cell r="E526">
            <v>122430</v>
          </cell>
          <cell r="F526" t="str">
            <v>Less than 10000</v>
          </cell>
          <cell r="G526" t="str">
            <v>1-4 Years</v>
          </cell>
          <cell r="I526" t="str">
            <v>Female</v>
          </cell>
          <cell r="N526" t="str">
            <v>Own</v>
          </cell>
          <cell r="P526" t="str">
            <v>Unskilled Resident</v>
          </cell>
          <cell r="S526" t="str">
            <v>Yes</v>
          </cell>
        </row>
        <row r="527">
          <cell r="C527" t="str">
            <v>Existing Paid</v>
          </cell>
          <cell r="D527" t="str">
            <v>Used Car</v>
          </cell>
          <cell r="E527">
            <v>876260</v>
          </cell>
          <cell r="F527" t="str">
            <v>Less than 10000</v>
          </cell>
          <cell r="G527" t="str">
            <v>Below 1Years</v>
          </cell>
          <cell r="I527" t="str">
            <v>Male</v>
          </cell>
          <cell r="N527" t="str">
            <v>Own</v>
          </cell>
          <cell r="P527" t="str">
            <v>Skilled</v>
          </cell>
          <cell r="S527" t="str">
            <v>Yes</v>
          </cell>
        </row>
        <row r="528">
          <cell r="C528" t="str">
            <v>Critical/Other Existing Credit</v>
          </cell>
          <cell r="D528" t="str">
            <v>Education</v>
          </cell>
          <cell r="E528">
            <v>168520</v>
          </cell>
          <cell r="F528" t="str">
            <v>10000 - 49999</v>
          </cell>
          <cell r="G528" t="str">
            <v>1-4 Years</v>
          </cell>
          <cell r="I528" t="str">
            <v>Female</v>
          </cell>
          <cell r="N528" t="str">
            <v>Own</v>
          </cell>
          <cell r="P528" t="str">
            <v>Skilled</v>
          </cell>
          <cell r="S528" t="str">
            <v>Yes</v>
          </cell>
        </row>
        <row r="529">
          <cell r="C529" t="str">
            <v>Critical/Other Existing Credit</v>
          </cell>
          <cell r="D529" t="str">
            <v>Radio/Tv</v>
          </cell>
          <cell r="E529">
            <v>165330</v>
          </cell>
          <cell r="F529" t="str">
            <v>Less than 10000</v>
          </cell>
          <cell r="G529" t="str">
            <v>4-6 Years</v>
          </cell>
          <cell r="I529" t="str">
            <v>Male</v>
          </cell>
          <cell r="N529" t="str">
            <v>Own</v>
          </cell>
          <cell r="P529" t="str">
            <v>Unskilled Resident</v>
          </cell>
          <cell r="S529" t="str">
            <v>Yes</v>
          </cell>
        </row>
        <row r="530">
          <cell r="C530" t="str">
            <v>Existing Paid</v>
          </cell>
          <cell r="D530" t="str">
            <v>Radio/Tv</v>
          </cell>
          <cell r="E530">
            <v>253220</v>
          </cell>
          <cell r="F530" t="str">
            <v>Less than 10000</v>
          </cell>
          <cell r="G530" t="str">
            <v>1-4 Years</v>
          </cell>
          <cell r="I530" t="str">
            <v>Male</v>
          </cell>
          <cell r="N530" t="str">
            <v>Rent</v>
          </cell>
          <cell r="P530" t="str">
            <v>Skilled</v>
          </cell>
          <cell r="S530" t="str">
            <v>Yes</v>
          </cell>
        </row>
        <row r="531">
          <cell r="C531" t="str">
            <v>Existing Paid</v>
          </cell>
          <cell r="D531" t="str">
            <v>New Car</v>
          </cell>
          <cell r="E531">
            <v>72820</v>
          </cell>
          <cell r="F531" t="str">
            <v>Less than 10000</v>
          </cell>
          <cell r="G531" t="str">
            <v>Below 1Years</v>
          </cell>
          <cell r="I531" t="str">
            <v>Male</v>
          </cell>
          <cell r="N531" t="str">
            <v>Own</v>
          </cell>
          <cell r="P531" t="str">
            <v>Unskilled Resident</v>
          </cell>
          <cell r="S531" t="str">
            <v>Yes</v>
          </cell>
        </row>
        <row r="532">
          <cell r="C532" t="str">
            <v>Existing Paid</v>
          </cell>
          <cell r="D532" t="str">
            <v>Education</v>
          </cell>
          <cell r="E532">
            <v>250030</v>
          </cell>
          <cell r="F532" t="str">
            <v>Less than 10000</v>
          </cell>
          <cell r="G532" t="str">
            <v>4-6 Years</v>
          </cell>
          <cell r="I532" t="str">
            <v>Male</v>
          </cell>
          <cell r="N532" t="str">
            <v>Own</v>
          </cell>
          <cell r="P532" t="str">
            <v>Skilled</v>
          </cell>
          <cell r="S532" t="str">
            <v>Yes</v>
          </cell>
        </row>
        <row r="533">
          <cell r="C533" t="str">
            <v>Existing Paid</v>
          </cell>
          <cell r="D533" t="str">
            <v>New Car</v>
          </cell>
          <cell r="E533">
            <v>289410</v>
          </cell>
          <cell r="F533" t="str">
            <v>10000 - 49999</v>
          </cell>
          <cell r="G533" t="str">
            <v>1-4 Years</v>
          </cell>
          <cell r="I533" t="str">
            <v>Female</v>
          </cell>
          <cell r="N533" t="str">
            <v>Rent</v>
          </cell>
          <cell r="P533" t="str">
            <v>Skilled</v>
          </cell>
          <cell r="S533" t="str">
            <v>Yes</v>
          </cell>
        </row>
        <row r="534">
          <cell r="C534" t="str">
            <v>Delayed Previously</v>
          </cell>
          <cell r="D534" t="str">
            <v>Used Car</v>
          </cell>
          <cell r="E534">
            <v>165330</v>
          </cell>
          <cell r="F534" t="str">
            <v>Less than 10000</v>
          </cell>
          <cell r="G534" t="str">
            <v>1-4 Years</v>
          </cell>
          <cell r="I534" t="str">
            <v>Male</v>
          </cell>
          <cell r="N534" t="str">
            <v>Rent</v>
          </cell>
          <cell r="P534" t="str">
            <v>Skilled</v>
          </cell>
          <cell r="S534" t="str">
            <v>Yes</v>
          </cell>
        </row>
        <row r="535">
          <cell r="C535" t="str">
            <v>Existing Paid</v>
          </cell>
          <cell r="D535" t="str">
            <v>Radio/Tv</v>
          </cell>
          <cell r="E535">
            <v>144210</v>
          </cell>
          <cell r="F535" t="str">
            <v>10000 - 49999</v>
          </cell>
          <cell r="G535" t="str">
            <v>4-6 Years</v>
          </cell>
          <cell r="I535" t="str">
            <v>Male</v>
          </cell>
          <cell r="N535" t="str">
            <v>Own</v>
          </cell>
          <cell r="P535" t="str">
            <v>Skilled</v>
          </cell>
          <cell r="S535" t="str">
            <v>Yes</v>
          </cell>
        </row>
        <row r="536">
          <cell r="C536" t="str">
            <v>Existing Paid</v>
          </cell>
          <cell r="D536" t="str">
            <v>Radio/Tv</v>
          </cell>
          <cell r="E536">
            <v>341550</v>
          </cell>
          <cell r="F536" t="str">
            <v>No Savings</v>
          </cell>
          <cell r="G536" t="str">
            <v>Below 1Years</v>
          </cell>
          <cell r="I536" t="str">
            <v>Male</v>
          </cell>
          <cell r="N536" t="str">
            <v>Own</v>
          </cell>
          <cell r="P536" t="str">
            <v>Skilled</v>
          </cell>
          <cell r="S536" t="str">
            <v>Yes</v>
          </cell>
        </row>
        <row r="537">
          <cell r="C537" t="str">
            <v>Critical/Other Existing Credit</v>
          </cell>
          <cell r="D537" t="str">
            <v>Education</v>
          </cell>
          <cell r="E537">
            <v>255090</v>
          </cell>
          <cell r="F537" t="str">
            <v>Less than 10000</v>
          </cell>
          <cell r="G537" t="str">
            <v>Below 1Years</v>
          </cell>
          <cell r="I537" t="str">
            <v>Male</v>
          </cell>
          <cell r="N537" t="str">
            <v>Rent</v>
          </cell>
          <cell r="P537" t="str">
            <v>Skilled</v>
          </cell>
          <cell r="S537" t="str">
            <v>Yes</v>
          </cell>
        </row>
        <row r="538">
          <cell r="C538" t="str">
            <v>Existing Paid</v>
          </cell>
          <cell r="D538" t="str">
            <v>New Car</v>
          </cell>
          <cell r="E538">
            <v>151140</v>
          </cell>
          <cell r="F538" t="str">
            <v>No Savings</v>
          </cell>
          <cell r="G538" t="str">
            <v>Unemployed</v>
          </cell>
          <cell r="I538" t="str">
            <v>Female</v>
          </cell>
          <cell r="N538" t="str">
            <v>Own</v>
          </cell>
          <cell r="P538" t="str">
            <v>High Qualif/Self Emp/Mgmt</v>
          </cell>
          <cell r="S538" t="str">
            <v>Yes</v>
          </cell>
        </row>
        <row r="539">
          <cell r="C539" t="str">
            <v>Critical/Other Existing Credit</v>
          </cell>
          <cell r="D539" t="str">
            <v>Furniture/Equipment</v>
          </cell>
          <cell r="E539">
            <v>397320</v>
          </cell>
          <cell r="F539" t="str">
            <v>Less than 10000</v>
          </cell>
          <cell r="G539" t="str">
            <v>7 Years</v>
          </cell>
          <cell r="I539" t="str">
            <v>Female</v>
          </cell>
          <cell r="N539" t="str">
            <v>Own</v>
          </cell>
          <cell r="P539" t="str">
            <v>Skilled</v>
          </cell>
          <cell r="S539" t="str">
            <v>Yes</v>
          </cell>
        </row>
        <row r="540">
          <cell r="C540" t="str">
            <v>Existing Paid</v>
          </cell>
          <cell r="D540" t="str">
            <v>New Car</v>
          </cell>
          <cell r="E540">
            <v>853930</v>
          </cell>
          <cell r="F540" t="str">
            <v>Less than 10000</v>
          </cell>
          <cell r="G540" t="str">
            <v>7 Years</v>
          </cell>
          <cell r="I540" t="str">
            <v>Male</v>
          </cell>
          <cell r="N540" t="str">
            <v>For Free</v>
          </cell>
          <cell r="P540" t="str">
            <v>High Qualif/Self Emp/Mgmt</v>
          </cell>
          <cell r="S540" t="str">
            <v>Yes</v>
          </cell>
        </row>
        <row r="541">
          <cell r="C541" t="str">
            <v>Existing Paid</v>
          </cell>
          <cell r="D541" t="str">
            <v>Furniture/Equipment</v>
          </cell>
          <cell r="E541">
            <v>335390</v>
          </cell>
          <cell r="F541" t="str">
            <v>Less than 10000</v>
          </cell>
          <cell r="G541" t="str">
            <v>Below 1Years</v>
          </cell>
          <cell r="I541" t="str">
            <v>Female</v>
          </cell>
          <cell r="N541" t="str">
            <v>Own</v>
          </cell>
          <cell r="P541" t="str">
            <v>Unskilled Resident</v>
          </cell>
          <cell r="S541" t="str">
            <v>Yes</v>
          </cell>
        </row>
        <row r="542">
          <cell r="C542" t="str">
            <v>Existing Paid</v>
          </cell>
          <cell r="D542" t="str">
            <v>Radio/Tv</v>
          </cell>
          <cell r="E542">
            <v>168740</v>
          </cell>
          <cell r="F542" t="str">
            <v>Less than 10000</v>
          </cell>
          <cell r="G542" t="str">
            <v>Below 1Years</v>
          </cell>
          <cell r="I542" t="str">
            <v>Male</v>
          </cell>
          <cell r="N542" t="str">
            <v>Rent</v>
          </cell>
          <cell r="P542" t="str">
            <v>Skilled</v>
          </cell>
          <cell r="S542" t="str">
            <v>Yes</v>
          </cell>
        </row>
        <row r="543">
          <cell r="C543" t="str">
            <v>Delayed Previously</v>
          </cell>
          <cell r="D543" t="str">
            <v>New Car</v>
          </cell>
          <cell r="E543">
            <v>223520</v>
          </cell>
          <cell r="F543" t="str">
            <v>Less than 10000</v>
          </cell>
          <cell r="G543" t="str">
            <v>7 Years</v>
          </cell>
          <cell r="I543" t="str">
            <v>Male</v>
          </cell>
          <cell r="N543" t="str">
            <v>For Free</v>
          </cell>
          <cell r="P543" t="str">
            <v>Skilled</v>
          </cell>
          <cell r="S543" t="str">
            <v>Yes</v>
          </cell>
        </row>
        <row r="544">
          <cell r="C544" t="str">
            <v>Existing Paid</v>
          </cell>
          <cell r="D544" t="str">
            <v>Furniture/Equipment</v>
          </cell>
          <cell r="E544">
            <v>698500</v>
          </cell>
          <cell r="F544" t="str">
            <v>No Savings</v>
          </cell>
          <cell r="G544" t="str">
            <v>7 Years</v>
          </cell>
          <cell r="I544" t="str">
            <v>Male</v>
          </cell>
          <cell r="N544" t="str">
            <v>Own</v>
          </cell>
          <cell r="P544" t="str">
            <v>Skilled</v>
          </cell>
          <cell r="S544" t="str">
            <v>Yes</v>
          </cell>
        </row>
        <row r="545">
          <cell r="C545" t="str">
            <v>Existing Paid</v>
          </cell>
          <cell r="D545" t="str">
            <v>Furniture/Equipment</v>
          </cell>
          <cell r="E545">
            <v>315040</v>
          </cell>
          <cell r="F545" t="str">
            <v>Less than 10000</v>
          </cell>
          <cell r="G545" t="str">
            <v>1-4 Years</v>
          </cell>
          <cell r="I545" t="str">
            <v>Male</v>
          </cell>
          <cell r="N545" t="str">
            <v>Own</v>
          </cell>
          <cell r="P545" t="str">
            <v>Unskilled Resident</v>
          </cell>
          <cell r="S545" t="str">
            <v>Yes</v>
          </cell>
        </row>
        <row r="546">
          <cell r="C546" t="str">
            <v>Critical/Other Existing Credit</v>
          </cell>
          <cell r="D546" t="str">
            <v>New Car</v>
          </cell>
          <cell r="E546">
            <v>138050</v>
          </cell>
          <cell r="F546" t="str">
            <v>Less than 10000</v>
          </cell>
          <cell r="G546" t="str">
            <v>7 Years</v>
          </cell>
          <cell r="I546" t="str">
            <v>Male</v>
          </cell>
          <cell r="N546" t="str">
            <v>Own</v>
          </cell>
          <cell r="P546" t="str">
            <v>Unskilled Resident</v>
          </cell>
          <cell r="S546" t="str">
            <v>Yes</v>
          </cell>
        </row>
        <row r="547">
          <cell r="C547" t="str">
            <v>Delayed Previously</v>
          </cell>
          <cell r="D547" t="str">
            <v>New Car</v>
          </cell>
          <cell r="E547">
            <v>146630</v>
          </cell>
          <cell r="F547" t="str">
            <v>Less than 10000</v>
          </cell>
          <cell r="G547" t="str">
            <v>Unemployed</v>
          </cell>
          <cell r="I547" t="str">
            <v>Male</v>
          </cell>
          <cell r="N547" t="str">
            <v>For Free</v>
          </cell>
          <cell r="P547" t="str">
            <v>Skilled</v>
          </cell>
          <cell r="S547" t="str">
            <v>Yes</v>
          </cell>
        </row>
        <row r="548">
          <cell r="C548" t="str">
            <v>Critical/Other Existing Credit</v>
          </cell>
          <cell r="D548" t="str">
            <v>New Car</v>
          </cell>
          <cell r="E548">
            <v>222420</v>
          </cell>
          <cell r="F548" t="str">
            <v>Less than 10000</v>
          </cell>
          <cell r="G548" t="str">
            <v>1-4 Years</v>
          </cell>
          <cell r="I548" t="str">
            <v>Female</v>
          </cell>
          <cell r="N548" t="str">
            <v>Own</v>
          </cell>
          <cell r="P548" t="str">
            <v>Skilled</v>
          </cell>
          <cell r="S548" t="str">
            <v>Yes</v>
          </cell>
        </row>
        <row r="549">
          <cell r="C549" t="str">
            <v>Existing Paid</v>
          </cell>
          <cell r="D549" t="str">
            <v>Radio/Tv</v>
          </cell>
          <cell r="E549">
            <v>170720</v>
          </cell>
          <cell r="F549" t="str">
            <v>Less than 10000</v>
          </cell>
          <cell r="G549" t="str">
            <v>4-6 Years</v>
          </cell>
          <cell r="I549" t="str">
            <v>Male</v>
          </cell>
          <cell r="N549" t="str">
            <v>Own</v>
          </cell>
          <cell r="P549" t="str">
            <v>Skilled</v>
          </cell>
          <cell r="S549" t="str">
            <v>Yes</v>
          </cell>
        </row>
        <row r="550">
          <cell r="C550" t="str">
            <v>All Paid</v>
          </cell>
          <cell r="D550" t="str">
            <v>Radio/Tv</v>
          </cell>
          <cell r="E550">
            <v>68860</v>
          </cell>
          <cell r="F550" t="str">
            <v>Less than 10000</v>
          </cell>
          <cell r="G550" t="str">
            <v>1-4 Years</v>
          </cell>
          <cell r="I550" t="str">
            <v>Female</v>
          </cell>
          <cell r="N550" t="str">
            <v>Own</v>
          </cell>
          <cell r="P550" t="str">
            <v>Unskilled Resident</v>
          </cell>
          <cell r="S550" t="str">
            <v>Yes</v>
          </cell>
        </row>
        <row r="551">
          <cell r="C551" t="str">
            <v>Critical/Other Existing Credit</v>
          </cell>
          <cell r="D551" t="str">
            <v>Used Car</v>
          </cell>
          <cell r="E551">
            <v>974380</v>
          </cell>
          <cell r="F551" t="str">
            <v>No Savings</v>
          </cell>
          <cell r="G551" t="str">
            <v>4-6 Years</v>
          </cell>
          <cell r="I551" t="str">
            <v>Male</v>
          </cell>
          <cell r="N551" t="str">
            <v>For Free</v>
          </cell>
          <cell r="P551" t="str">
            <v>Skilled</v>
          </cell>
          <cell r="S551" t="str">
            <v>Yes</v>
          </cell>
        </row>
        <row r="552">
          <cell r="C552" t="str">
            <v>Critical/Other Existing Credit</v>
          </cell>
          <cell r="D552" t="str">
            <v>Repairs</v>
          </cell>
          <cell r="E552">
            <v>109560</v>
          </cell>
          <cell r="F552" t="str">
            <v>No Savings</v>
          </cell>
          <cell r="G552" t="str">
            <v>4-6 Years</v>
          </cell>
          <cell r="I552" t="str">
            <v>Female</v>
          </cell>
          <cell r="N552" t="str">
            <v>Own</v>
          </cell>
          <cell r="P552" t="str">
            <v>Skilled</v>
          </cell>
          <cell r="S552" t="str">
            <v>Yes</v>
          </cell>
        </row>
        <row r="553">
          <cell r="C553" t="str">
            <v>All Paid</v>
          </cell>
          <cell r="D553" t="str">
            <v>Radio/Tv</v>
          </cell>
          <cell r="E553">
            <v>192500</v>
          </cell>
          <cell r="F553" t="str">
            <v>50000 - 99999</v>
          </cell>
          <cell r="G553" t="str">
            <v>7 Years</v>
          </cell>
          <cell r="I553" t="str">
            <v>Male</v>
          </cell>
          <cell r="N553" t="str">
            <v>Own</v>
          </cell>
          <cell r="P553" t="str">
            <v>Unskilled Resident</v>
          </cell>
          <cell r="S553" t="str">
            <v>Yes</v>
          </cell>
        </row>
        <row r="554">
          <cell r="C554" t="str">
            <v>Existing Paid</v>
          </cell>
          <cell r="D554" t="str">
            <v>Radio/Tv</v>
          </cell>
          <cell r="E554">
            <v>769890</v>
          </cell>
          <cell r="F554" t="str">
            <v>Less than 10000</v>
          </cell>
          <cell r="G554" t="str">
            <v>4-6 Years</v>
          </cell>
          <cell r="I554" t="str">
            <v>Male</v>
          </cell>
          <cell r="N554" t="str">
            <v>Own</v>
          </cell>
          <cell r="P554" t="str">
            <v>Skilled</v>
          </cell>
          <cell r="S554" t="str">
            <v>Yes</v>
          </cell>
        </row>
        <row r="555">
          <cell r="C555" t="str">
            <v>Critical/Other Existing Credit</v>
          </cell>
          <cell r="D555" t="str">
            <v>New Car</v>
          </cell>
          <cell r="E555">
            <v>219450</v>
          </cell>
          <cell r="F555" t="str">
            <v>10000 - 49999</v>
          </cell>
          <cell r="G555" t="str">
            <v>Below 1Years</v>
          </cell>
          <cell r="I555" t="str">
            <v>Male</v>
          </cell>
          <cell r="N555" t="str">
            <v>Own</v>
          </cell>
          <cell r="P555" t="str">
            <v>Skilled</v>
          </cell>
          <cell r="S555" t="str">
            <v>Yes</v>
          </cell>
        </row>
        <row r="556">
          <cell r="C556" t="str">
            <v>Existing Paid</v>
          </cell>
          <cell r="D556" t="str">
            <v>Education</v>
          </cell>
          <cell r="E556">
            <v>131890</v>
          </cell>
          <cell r="F556" t="str">
            <v>Less than 10000</v>
          </cell>
          <cell r="G556" t="str">
            <v>4-6 Years</v>
          </cell>
          <cell r="I556" t="str">
            <v>Female</v>
          </cell>
          <cell r="N556" t="str">
            <v>Own</v>
          </cell>
          <cell r="P556" t="str">
            <v>High Qualif/Self Emp/Mgmt</v>
          </cell>
          <cell r="S556" t="str">
            <v>Yes</v>
          </cell>
        </row>
        <row r="557">
          <cell r="C557" t="str">
            <v>Existing Paid</v>
          </cell>
          <cell r="D557" t="str">
            <v>Radio/Tv</v>
          </cell>
          <cell r="E557">
            <v>146410</v>
          </cell>
          <cell r="F557" t="str">
            <v>Less than 10000</v>
          </cell>
          <cell r="G557" t="str">
            <v>Below 1Years</v>
          </cell>
          <cell r="I557" t="str">
            <v>Male</v>
          </cell>
          <cell r="N557" t="str">
            <v>Own</v>
          </cell>
          <cell r="P557" t="str">
            <v>Skilled</v>
          </cell>
          <cell r="S557" t="str">
            <v>Yes</v>
          </cell>
        </row>
        <row r="558">
          <cell r="C558" t="str">
            <v>No Credits/All Paid</v>
          </cell>
          <cell r="D558" t="str">
            <v>New Car</v>
          </cell>
          <cell r="E558">
            <v>250580</v>
          </cell>
          <cell r="F558" t="str">
            <v>10000 - 49999</v>
          </cell>
          <cell r="G558" t="str">
            <v>Below 1Years</v>
          </cell>
          <cell r="I558" t="str">
            <v>Female</v>
          </cell>
          <cell r="N558" t="str">
            <v>Own</v>
          </cell>
          <cell r="P558" t="str">
            <v>Skilled</v>
          </cell>
          <cell r="S558" t="str">
            <v>Yes</v>
          </cell>
        </row>
        <row r="559">
          <cell r="C559" t="str">
            <v>No Credits/All Paid</v>
          </cell>
          <cell r="D559" t="str">
            <v>New Car</v>
          </cell>
          <cell r="E559">
            <v>550330</v>
          </cell>
          <cell r="F559" t="str">
            <v>No Savings</v>
          </cell>
          <cell r="G559" t="str">
            <v>1-4 Years</v>
          </cell>
          <cell r="I559" t="str">
            <v>Female</v>
          </cell>
          <cell r="N559" t="str">
            <v>Own</v>
          </cell>
          <cell r="P559" t="str">
            <v>Skilled</v>
          </cell>
          <cell r="S559" t="str">
            <v>Yes</v>
          </cell>
        </row>
        <row r="560">
          <cell r="C560" t="str">
            <v>All Paid</v>
          </cell>
          <cell r="D560" t="str">
            <v>Furniture/Equipment</v>
          </cell>
          <cell r="E560">
            <v>390720</v>
          </cell>
          <cell r="F560" t="str">
            <v>Less than 10000</v>
          </cell>
          <cell r="G560" t="str">
            <v>4-6 Years</v>
          </cell>
          <cell r="I560" t="str">
            <v>Male</v>
          </cell>
          <cell r="N560" t="str">
            <v>Own</v>
          </cell>
          <cell r="P560" t="str">
            <v>Skilled</v>
          </cell>
          <cell r="S560" t="str">
            <v>Yes</v>
          </cell>
        </row>
        <row r="561">
          <cell r="C561" t="str">
            <v>Critical/Other Existing Credit</v>
          </cell>
          <cell r="D561" t="str">
            <v>Furniture/Equipment</v>
          </cell>
          <cell r="E561">
            <v>212080</v>
          </cell>
          <cell r="F561" t="str">
            <v>Less than 10000</v>
          </cell>
          <cell r="G561" t="str">
            <v>Below 1Years</v>
          </cell>
          <cell r="I561" t="str">
            <v>Male</v>
          </cell>
          <cell r="N561" t="str">
            <v>Own</v>
          </cell>
          <cell r="P561" t="str">
            <v>Unskilled Resident</v>
          </cell>
          <cell r="S561" t="str">
            <v>Yes</v>
          </cell>
        </row>
        <row r="562">
          <cell r="C562" t="str">
            <v>Existing Paid</v>
          </cell>
          <cell r="D562" t="str">
            <v>Used Car</v>
          </cell>
          <cell r="E562">
            <v>326040</v>
          </cell>
          <cell r="F562" t="str">
            <v>No Savings</v>
          </cell>
          <cell r="G562" t="str">
            <v>7 Years</v>
          </cell>
          <cell r="I562" t="str">
            <v>Male</v>
          </cell>
          <cell r="N562" t="str">
            <v>For Free</v>
          </cell>
          <cell r="P562" t="str">
            <v>Skilled</v>
          </cell>
          <cell r="S562" t="str">
            <v>Yes</v>
          </cell>
        </row>
        <row r="563">
          <cell r="C563" t="str">
            <v>All Paid</v>
          </cell>
          <cell r="D563" t="str">
            <v>Radio/Tv</v>
          </cell>
          <cell r="E563">
            <v>170060</v>
          </cell>
          <cell r="F563" t="str">
            <v>Less than 10000</v>
          </cell>
          <cell r="G563" t="str">
            <v>4-6 Years</v>
          </cell>
          <cell r="I563" t="str">
            <v>Male</v>
          </cell>
          <cell r="N563" t="str">
            <v>Rent</v>
          </cell>
          <cell r="P563" t="str">
            <v>Unskilled Resident</v>
          </cell>
          <cell r="S563" t="str">
            <v>Yes</v>
          </cell>
        </row>
        <row r="564">
          <cell r="C564" t="str">
            <v>Delayed Previously</v>
          </cell>
          <cell r="D564" t="str">
            <v>Radio/Tv</v>
          </cell>
          <cell r="E564">
            <v>75130</v>
          </cell>
          <cell r="F564" t="str">
            <v>Less than 10000</v>
          </cell>
          <cell r="G564" t="str">
            <v>Below 1Years</v>
          </cell>
          <cell r="I564" t="str">
            <v>Female</v>
          </cell>
          <cell r="N564" t="str">
            <v>Own</v>
          </cell>
          <cell r="P564" t="str">
            <v>Skilled</v>
          </cell>
          <cell r="S564" t="str">
            <v>Yes</v>
          </cell>
        </row>
        <row r="565">
          <cell r="C565" t="str">
            <v>Existing Paid</v>
          </cell>
          <cell r="D565" t="str">
            <v>New Car</v>
          </cell>
          <cell r="E565">
            <v>1362790</v>
          </cell>
          <cell r="F565" t="str">
            <v>No Savings</v>
          </cell>
          <cell r="G565" t="str">
            <v>1-4 Years</v>
          </cell>
          <cell r="I565" t="str">
            <v>Male</v>
          </cell>
          <cell r="N565" t="str">
            <v>For Free</v>
          </cell>
          <cell r="P565" t="str">
            <v>Skilled</v>
          </cell>
          <cell r="S565" t="str">
            <v>Yes</v>
          </cell>
        </row>
        <row r="566">
          <cell r="C566" t="str">
            <v>Delayed Previously</v>
          </cell>
          <cell r="D566" t="str">
            <v>Business</v>
          </cell>
          <cell r="E566">
            <v>518320</v>
          </cell>
          <cell r="F566" t="str">
            <v>No Savings</v>
          </cell>
          <cell r="G566" t="str">
            <v>1-4 Years</v>
          </cell>
          <cell r="I566" t="str">
            <v>Male</v>
          </cell>
          <cell r="N566" t="str">
            <v>Own</v>
          </cell>
          <cell r="P566" t="str">
            <v>High Qualif/Self Emp/Mgmt</v>
          </cell>
          <cell r="S566" t="str">
            <v>Yes</v>
          </cell>
        </row>
        <row r="567">
          <cell r="C567" t="str">
            <v>Delayed Previously</v>
          </cell>
          <cell r="D567" t="str">
            <v>Radio/Tv</v>
          </cell>
          <cell r="E567">
            <v>170830</v>
          </cell>
          <cell r="F567" t="str">
            <v>10000 - 49999</v>
          </cell>
          <cell r="G567" t="str">
            <v>4-6 Years</v>
          </cell>
          <cell r="I567" t="str">
            <v>Female</v>
          </cell>
          <cell r="N567" t="str">
            <v>Rent</v>
          </cell>
          <cell r="P567" t="str">
            <v>Skilled</v>
          </cell>
          <cell r="S567" t="str">
            <v>Yes</v>
          </cell>
        </row>
        <row r="568">
          <cell r="C568" t="str">
            <v>Existing Paid</v>
          </cell>
          <cell r="D568" t="str">
            <v>New Car</v>
          </cell>
          <cell r="E568">
            <v>150920</v>
          </cell>
          <cell r="F568" t="str">
            <v>Less than 10000</v>
          </cell>
          <cell r="G568" t="str">
            <v>4-6 Years</v>
          </cell>
          <cell r="I568" t="str">
            <v>Male</v>
          </cell>
          <cell r="N568" t="str">
            <v>Own</v>
          </cell>
          <cell r="P568" t="str">
            <v>Skilled</v>
          </cell>
          <cell r="S568" t="str">
            <v>Yes</v>
          </cell>
        </row>
        <row r="569">
          <cell r="C569" t="str">
            <v>Critical/Other Existing Credit</v>
          </cell>
          <cell r="D569" t="str">
            <v>Radio/Tv</v>
          </cell>
          <cell r="E569">
            <v>283580</v>
          </cell>
          <cell r="F569" t="str">
            <v>1,00000 or Above</v>
          </cell>
          <cell r="G569" t="str">
            <v>7 Years</v>
          </cell>
          <cell r="I569" t="str">
            <v>Male</v>
          </cell>
          <cell r="N569" t="str">
            <v>Own</v>
          </cell>
          <cell r="P569" t="str">
            <v>Skilled</v>
          </cell>
          <cell r="S569" t="str">
            <v>Yes</v>
          </cell>
        </row>
        <row r="570">
          <cell r="C570" t="str">
            <v>Existing Paid</v>
          </cell>
          <cell r="D570" t="str">
            <v>Radio/Tv</v>
          </cell>
          <cell r="E570">
            <v>437690</v>
          </cell>
          <cell r="F570" t="str">
            <v>No Savings</v>
          </cell>
          <cell r="G570" t="str">
            <v>4-6 Years</v>
          </cell>
          <cell r="I570" t="str">
            <v>Male</v>
          </cell>
          <cell r="N570" t="str">
            <v>Own</v>
          </cell>
          <cell r="P570" t="str">
            <v>Skilled</v>
          </cell>
          <cell r="S570" t="str">
            <v>Yes</v>
          </cell>
        </row>
        <row r="571">
          <cell r="C571" t="str">
            <v>Existing Paid</v>
          </cell>
          <cell r="D571" t="str">
            <v>Radio/Tv</v>
          </cell>
          <cell r="E571">
            <v>743380</v>
          </cell>
          <cell r="F571" t="str">
            <v>Less than 10000</v>
          </cell>
          <cell r="G571" t="str">
            <v>1-4 Years</v>
          </cell>
          <cell r="I571" t="str">
            <v>Female</v>
          </cell>
          <cell r="N571" t="str">
            <v>Own</v>
          </cell>
          <cell r="P571" t="str">
            <v>Skilled</v>
          </cell>
          <cell r="S571" t="str">
            <v>Yes</v>
          </cell>
        </row>
        <row r="572">
          <cell r="C572" t="str">
            <v>Existing Paid</v>
          </cell>
          <cell r="D572" t="str">
            <v>Furniture/Equipment</v>
          </cell>
          <cell r="E572">
            <v>355740</v>
          </cell>
          <cell r="F572" t="str">
            <v>Less than 10000</v>
          </cell>
          <cell r="G572" t="str">
            <v>Below 1Years</v>
          </cell>
          <cell r="I572" t="str">
            <v>Female</v>
          </cell>
          <cell r="N572" t="str">
            <v>Rent</v>
          </cell>
          <cell r="P572" t="str">
            <v>Unskilled Resident</v>
          </cell>
          <cell r="S572" t="str">
            <v>Yes</v>
          </cell>
        </row>
        <row r="573">
          <cell r="C573" t="str">
            <v>Critical/Other Existing Credit</v>
          </cell>
          <cell r="D573" t="str">
            <v>Radio/Tv</v>
          </cell>
          <cell r="E573">
            <v>654940</v>
          </cell>
          <cell r="F573" t="str">
            <v>Less than 10000</v>
          </cell>
          <cell r="G573" t="str">
            <v>4-6 Years</v>
          </cell>
          <cell r="I573" t="str">
            <v>Male</v>
          </cell>
          <cell r="N573" t="str">
            <v>Own</v>
          </cell>
          <cell r="P573" t="str">
            <v>Skilled</v>
          </cell>
          <cell r="S573" t="str">
            <v>Yes</v>
          </cell>
        </row>
        <row r="574">
          <cell r="C574" t="str">
            <v>Existing Paid</v>
          </cell>
          <cell r="D574" t="str">
            <v>Used Car</v>
          </cell>
          <cell r="E574">
            <v>597630</v>
          </cell>
          <cell r="F574" t="str">
            <v>No Savings</v>
          </cell>
          <cell r="G574" t="str">
            <v>Unemployed</v>
          </cell>
          <cell r="I574" t="str">
            <v>Female</v>
          </cell>
          <cell r="N574" t="str">
            <v>Rent</v>
          </cell>
          <cell r="P574" t="str">
            <v>High Qualif/Self Emp/Mgmt</v>
          </cell>
          <cell r="S574" t="str">
            <v>Yes</v>
          </cell>
        </row>
        <row r="575">
          <cell r="C575" t="str">
            <v>Existing Paid</v>
          </cell>
          <cell r="D575" t="str">
            <v>Business</v>
          </cell>
          <cell r="E575">
            <v>88660</v>
          </cell>
          <cell r="F575" t="str">
            <v>Less than 10000</v>
          </cell>
          <cell r="G575" t="str">
            <v>1-4 Years</v>
          </cell>
          <cell r="I575" t="str">
            <v>Female</v>
          </cell>
          <cell r="N575" t="str">
            <v>Own</v>
          </cell>
          <cell r="P575" t="str">
            <v>Unskilled Resident</v>
          </cell>
          <cell r="S575" t="str">
            <v>Yes</v>
          </cell>
        </row>
        <row r="576">
          <cell r="C576" t="str">
            <v>Existing Paid</v>
          </cell>
          <cell r="D576" t="str">
            <v>Radio/Tv</v>
          </cell>
          <cell r="E576">
            <v>119020</v>
          </cell>
          <cell r="F576" t="str">
            <v>Less than 10000</v>
          </cell>
          <cell r="G576" t="str">
            <v>7 Years</v>
          </cell>
          <cell r="I576" t="str">
            <v>Male</v>
          </cell>
          <cell r="N576" t="str">
            <v>Own</v>
          </cell>
          <cell r="P576" t="str">
            <v>Unskilled Resident</v>
          </cell>
          <cell r="S576" t="str">
            <v>Yes</v>
          </cell>
        </row>
        <row r="577">
          <cell r="C577" t="str">
            <v>Critical/Other Existing Credit</v>
          </cell>
          <cell r="D577" t="str">
            <v>Furniture/Equipment</v>
          </cell>
          <cell r="E577">
            <v>306680</v>
          </cell>
          <cell r="F577" t="str">
            <v>Less than 10000</v>
          </cell>
          <cell r="G577" t="str">
            <v>4-6 Years</v>
          </cell>
          <cell r="I577" t="str">
            <v>Female</v>
          </cell>
          <cell r="N577" t="str">
            <v>Own</v>
          </cell>
          <cell r="P577" t="str">
            <v>Skilled</v>
          </cell>
          <cell r="S577" t="str">
            <v>Yes</v>
          </cell>
        </row>
        <row r="578">
          <cell r="C578" t="str">
            <v>Existing Paid</v>
          </cell>
          <cell r="D578" t="str">
            <v>Radio/Tv</v>
          </cell>
          <cell r="E578">
            <v>322300</v>
          </cell>
          <cell r="F578" t="str">
            <v>Less than 10000</v>
          </cell>
          <cell r="G578" t="str">
            <v>4-6 Years</v>
          </cell>
          <cell r="I578" t="str">
            <v>Female</v>
          </cell>
          <cell r="N578" t="str">
            <v>Own</v>
          </cell>
          <cell r="P578" t="str">
            <v>Skilled</v>
          </cell>
          <cell r="S578" t="str">
            <v>Yes</v>
          </cell>
        </row>
        <row r="579">
          <cell r="C579" t="str">
            <v>Critical/Other Existing Credit</v>
          </cell>
          <cell r="D579" t="str">
            <v>Education</v>
          </cell>
          <cell r="E579">
            <v>211970</v>
          </cell>
          <cell r="F579" t="str">
            <v>No Savings</v>
          </cell>
          <cell r="G579" t="str">
            <v>1-4 Years</v>
          </cell>
          <cell r="I579" t="str">
            <v>Female</v>
          </cell>
          <cell r="N579" t="str">
            <v>Own</v>
          </cell>
          <cell r="P579" t="str">
            <v>Skilled</v>
          </cell>
          <cell r="S579" t="str">
            <v>Yes</v>
          </cell>
        </row>
        <row r="580">
          <cell r="C580" t="str">
            <v>Critical/Other Existing Credit</v>
          </cell>
          <cell r="D580" t="str">
            <v>New Car</v>
          </cell>
          <cell r="E580">
            <v>310200</v>
          </cell>
          <cell r="F580" t="str">
            <v>Less than 10000</v>
          </cell>
          <cell r="G580" t="str">
            <v>Below 1Years</v>
          </cell>
          <cell r="I580" t="str">
            <v>Male</v>
          </cell>
          <cell r="N580" t="str">
            <v>Own</v>
          </cell>
          <cell r="P580" t="str">
            <v>Skilled</v>
          </cell>
          <cell r="S580" t="str">
            <v>Yes</v>
          </cell>
        </row>
        <row r="581">
          <cell r="C581" t="str">
            <v>Existing Paid</v>
          </cell>
          <cell r="D581" t="str">
            <v>Retraining</v>
          </cell>
          <cell r="E581">
            <v>103070</v>
          </cell>
          <cell r="F581" t="str">
            <v>Less than 10000</v>
          </cell>
          <cell r="G581" t="str">
            <v>Below 1Years</v>
          </cell>
          <cell r="I581" t="str">
            <v>Male</v>
          </cell>
          <cell r="N581" t="str">
            <v>Own</v>
          </cell>
          <cell r="P581" t="str">
            <v>Unskilled Resident</v>
          </cell>
          <cell r="S581" t="str">
            <v>Yes</v>
          </cell>
        </row>
        <row r="582">
          <cell r="C582" t="str">
            <v>Critical/Other Existing Credit</v>
          </cell>
          <cell r="D582" t="str">
            <v>New Car</v>
          </cell>
          <cell r="E582">
            <v>116160</v>
          </cell>
          <cell r="F582" t="str">
            <v>Less than 10000</v>
          </cell>
          <cell r="G582" t="str">
            <v>7 Years</v>
          </cell>
          <cell r="I582" t="str">
            <v>Male</v>
          </cell>
          <cell r="N582" t="str">
            <v>Own</v>
          </cell>
          <cell r="P582" t="str">
            <v>Skilled</v>
          </cell>
          <cell r="S582" t="str">
            <v>Yes</v>
          </cell>
        </row>
        <row r="583">
          <cell r="C583" t="str">
            <v>Critical/Other Existing Credit</v>
          </cell>
          <cell r="D583" t="str">
            <v>New Car</v>
          </cell>
          <cell r="E583">
            <v>343640</v>
          </cell>
          <cell r="F583" t="str">
            <v>Less than 10000</v>
          </cell>
          <cell r="G583" t="str">
            <v>Below 1Years</v>
          </cell>
          <cell r="I583" t="str">
            <v>Male</v>
          </cell>
          <cell r="N583" t="str">
            <v>Own</v>
          </cell>
          <cell r="P583" t="str">
            <v>Unskilled Resident</v>
          </cell>
          <cell r="S583" t="str">
            <v>Yes</v>
          </cell>
        </row>
        <row r="584">
          <cell r="C584" t="str">
            <v>Existing Paid</v>
          </cell>
          <cell r="D584" t="str">
            <v>Furniture/Equipment</v>
          </cell>
          <cell r="E584">
            <v>152680</v>
          </cell>
          <cell r="F584" t="str">
            <v>Less than 10000</v>
          </cell>
          <cell r="G584" t="str">
            <v>1-4 Years</v>
          </cell>
          <cell r="I584" t="str">
            <v>Female</v>
          </cell>
          <cell r="N584" t="str">
            <v>Rent</v>
          </cell>
          <cell r="P584" t="str">
            <v>Skilled</v>
          </cell>
          <cell r="S584" t="str">
            <v>Yes</v>
          </cell>
        </row>
        <row r="585">
          <cell r="C585" t="str">
            <v>Existing Paid</v>
          </cell>
          <cell r="D585" t="str">
            <v>Repairs</v>
          </cell>
          <cell r="E585">
            <v>262240</v>
          </cell>
          <cell r="F585" t="str">
            <v>Less than 10000</v>
          </cell>
          <cell r="G585" t="str">
            <v>Below 1Years</v>
          </cell>
          <cell r="I585" t="str">
            <v>Male</v>
          </cell>
          <cell r="N585" t="str">
            <v>Rent</v>
          </cell>
          <cell r="P585" t="str">
            <v>Unskilled Resident</v>
          </cell>
          <cell r="S585" t="str">
            <v>Yes</v>
          </cell>
        </row>
        <row r="586">
          <cell r="C586" t="str">
            <v>Existing Paid</v>
          </cell>
          <cell r="D586" t="str">
            <v>New Car</v>
          </cell>
          <cell r="E586">
            <v>234630</v>
          </cell>
          <cell r="F586" t="str">
            <v>No Savings</v>
          </cell>
          <cell r="G586" t="str">
            <v>7 Years</v>
          </cell>
          <cell r="I586" t="str">
            <v>Female</v>
          </cell>
          <cell r="N586" t="str">
            <v>For Free</v>
          </cell>
          <cell r="P586" t="str">
            <v>High Qualif/Self Emp/Mgmt</v>
          </cell>
          <cell r="S586" t="str">
            <v>Yes</v>
          </cell>
        </row>
        <row r="587">
          <cell r="C587" t="str">
            <v>Existing Paid</v>
          </cell>
          <cell r="D587" t="str">
            <v>Furniture/Equipment</v>
          </cell>
          <cell r="E587">
            <v>224290</v>
          </cell>
          <cell r="F587" t="str">
            <v>Less than 10000</v>
          </cell>
          <cell r="G587" t="str">
            <v>1-4 Years</v>
          </cell>
          <cell r="I587" t="str">
            <v>Female</v>
          </cell>
          <cell r="N587" t="str">
            <v>Rent</v>
          </cell>
          <cell r="P587" t="str">
            <v>Skilled</v>
          </cell>
          <cell r="S587" t="str">
            <v>Yes</v>
          </cell>
        </row>
        <row r="588">
          <cell r="C588" t="str">
            <v>Critical/Other Existing Credit</v>
          </cell>
          <cell r="D588" t="str">
            <v>New Car</v>
          </cell>
          <cell r="E588">
            <v>307890</v>
          </cell>
          <cell r="F588" t="str">
            <v>Less than 10000</v>
          </cell>
          <cell r="G588" t="str">
            <v>1-4 Years</v>
          </cell>
          <cell r="I588" t="str">
            <v>Male</v>
          </cell>
          <cell r="N588" t="str">
            <v>Rent</v>
          </cell>
          <cell r="P588" t="str">
            <v>Skilled</v>
          </cell>
          <cell r="S588" t="str">
            <v>Yes</v>
          </cell>
        </row>
        <row r="589">
          <cell r="C589" t="str">
            <v>Existing Paid</v>
          </cell>
          <cell r="D589" t="str">
            <v>Furniture/Equipment</v>
          </cell>
          <cell r="E589">
            <v>141790</v>
          </cell>
          <cell r="F589" t="str">
            <v>Less than 10000</v>
          </cell>
          <cell r="G589" t="str">
            <v>1-4 Years</v>
          </cell>
          <cell r="I589" t="str">
            <v>Male</v>
          </cell>
          <cell r="N589" t="str">
            <v>Own</v>
          </cell>
          <cell r="P589" t="str">
            <v>Unskilled Resident</v>
          </cell>
          <cell r="S589" t="str">
            <v>Yes</v>
          </cell>
        </row>
        <row r="590">
          <cell r="C590" t="str">
            <v>Existing Paid</v>
          </cell>
          <cell r="D590" t="str">
            <v>Domestic Appliance</v>
          </cell>
          <cell r="E590">
            <v>133870</v>
          </cell>
          <cell r="F590" t="str">
            <v>Less than 10000</v>
          </cell>
          <cell r="G590" t="str">
            <v>1-4 Years</v>
          </cell>
          <cell r="I590" t="str">
            <v>Male</v>
          </cell>
          <cell r="N590" t="str">
            <v>Own</v>
          </cell>
          <cell r="P590" t="str">
            <v>Unskilled Resident</v>
          </cell>
          <cell r="S590" t="str">
            <v>Yes</v>
          </cell>
        </row>
        <row r="591">
          <cell r="C591" t="str">
            <v>Critical/Other Existing Credit</v>
          </cell>
          <cell r="D591" t="str">
            <v>Furniture/Equipment</v>
          </cell>
          <cell r="E591">
            <v>247060</v>
          </cell>
          <cell r="F591" t="str">
            <v>Less than 10000</v>
          </cell>
          <cell r="G591" t="str">
            <v>7 Years</v>
          </cell>
          <cell r="I591" t="str">
            <v>Male</v>
          </cell>
          <cell r="N591" t="str">
            <v>Own</v>
          </cell>
          <cell r="P591" t="str">
            <v>Skilled</v>
          </cell>
          <cell r="S591" t="str">
            <v>Yes</v>
          </cell>
        </row>
        <row r="592">
          <cell r="C592" t="str">
            <v>Critical/Other Existing Credit</v>
          </cell>
          <cell r="D592" t="str">
            <v>Radio/Tv</v>
          </cell>
          <cell r="E592">
            <v>42350</v>
          </cell>
          <cell r="F592" t="str">
            <v>Less than 10000</v>
          </cell>
          <cell r="G592" t="str">
            <v>4-6 Years</v>
          </cell>
          <cell r="I592" t="str">
            <v>Female</v>
          </cell>
          <cell r="N592" t="str">
            <v>Own</v>
          </cell>
          <cell r="P592" t="str">
            <v>Unskilled Resident</v>
          </cell>
          <cell r="S592" t="str">
            <v>Yes</v>
          </cell>
        </row>
        <row r="593">
          <cell r="C593" t="str">
            <v>Delayed Previously</v>
          </cell>
          <cell r="D593" t="str">
            <v>New Car</v>
          </cell>
          <cell r="E593">
            <v>216150</v>
          </cell>
          <cell r="F593" t="str">
            <v>No Savings</v>
          </cell>
          <cell r="G593" t="str">
            <v>1-4 Years</v>
          </cell>
          <cell r="I593" t="str">
            <v>Female</v>
          </cell>
          <cell r="N593" t="str">
            <v>Rent</v>
          </cell>
          <cell r="P593" t="str">
            <v>Skilled</v>
          </cell>
          <cell r="S593" t="str">
            <v>Yes</v>
          </cell>
        </row>
        <row r="594">
          <cell r="C594" t="str">
            <v>Existing Paid</v>
          </cell>
          <cell r="D594" t="str">
            <v>Business</v>
          </cell>
          <cell r="E594">
            <v>172920</v>
          </cell>
          <cell r="F594" t="str">
            <v>1,00000 or Above</v>
          </cell>
          <cell r="G594" t="str">
            <v>7 Years</v>
          </cell>
          <cell r="I594" t="str">
            <v>Female</v>
          </cell>
          <cell r="N594" t="str">
            <v>Own</v>
          </cell>
          <cell r="P594" t="str">
            <v>Unskilled Resident</v>
          </cell>
          <cell r="S594" t="str">
            <v>Yes</v>
          </cell>
        </row>
        <row r="595">
          <cell r="C595" t="str">
            <v>Existing Paid</v>
          </cell>
          <cell r="D595" t="str">
            <v>New Car</v>
          </cell>
          <cell r="E595">
            <v>298980</v>
          </cell>
          <cell r="F595" t="str">
            <v>Less than 10000</v>
          </cell>
          <cell r="G595" t="str">
            <v>1-4 Years</v>
          </cell>
          <cell r="I595" t="str">
            <v>Female</v>
          </cell>
          <cell r="N595" t="str">
            <v>Rent</v>
          </cell>
          <cell r="P595" t="str">
            <v>Unskilled Resident</v>
          </cell>
          <cell r="S595" t="str">
            <v>Yes</v>
          </cell>
        </row>
        <row r="596">
          <cell r="C596" t="str">
            <v>All Paid</v>
          </cell>
          <cell r="D596" t="str">
            <v>Other</v>
          </cell>
          <cell r="E596">
            <v>149380</v>
          </cell>
          <cell r="F596" t="str">
            <v>No Savings</v>
          </cell>
          <cell r="G596" t="str">
            <v>7 Years</v>
          </cell>
          <cell r="I596" t="str">
            <v>Male</v>
          </cell>
          <cell r="N596" t="str">
            <v>Own</v>
          </cell>
          <cell r="P596" t="str">
            <v>High Qualif/Self Emp/Mgmt</v>
          </cell>
          <cell r="S596" t="str">
            <v>Yes</v>
          </cell>
        </row>
        <row r="597">
          <cell r="C597" t="str">
            <v>All Paid</v>
          </cell>
          <cell r="D597" t="str">
            <v>New Car</v>
          </cell>
          <cell r="E597">
            <v>102410</v>
          </cell>
          <cell r="F597" t="str">
            <v>10000 - 49999</v>
          </cell>
          <cell r="G597" t="str">
            <v>Below 1Years</v>
          </cell>
          <cell r="I597" t="str">
            <v>Female</v>
          </cell>
          <cell r="N597" t="str">
            <v>Own</v>
          </cell>
          <cell r="P597" t="str">
            <v>Unskilled Resident</v>
          </cell>
          <cell r="S597" t="str">
            <v>Yes</v>
          </cell>
        </row>
        <row r="598">
          <cell r="C598" t="str">
            <v>Existing Paid</v>
          </cell>
          <cell r="D598" t="str">
            <v>New Car</v>
          </cell>
          <cell r="E598">
            <v>158620</v>
          </cell>
          <cell r="F598" t="str">
            <v>Less than 10000</v>
          </cell>
          <cell r="G598" t="str">
            <v>4-6 Years</v>
          </cell>
          <cell r="I598" t="str">
            <v>Female</v>
          </cell>
          <cell r="N598" t="str">
            <v>Rent</v>
          </cell>
          <cell r="P598" t="str">
            <v>Skilled</v>
          </cell>
          <cell r="S598" t="str">
            <v>Yes</v>
          </cell>
        </row>
        <row r="599">
          <cell r="C599" t="str">
            <v>No Credits/All Paid</v>
          </cell>
          <cell r="D599" t="str">
            <v>Business</v>
          </cell>
          <cell r="E599">
            <v>466510</v>
          </cell>
          <cell r="F599" t="str">
            <v>Less than 10000</v>
          </cell>
          <cell r="G599" t="str">
            <v>1-4 Years</v>
          </cell>
          <cell r="I599" t="str">
            <v>Male</v>
          </cell>
          <cell r="N599" t="str">
            <v>Own</v>
          </cell>
          <cell r="P599" t="str">
            <v>Unskilled Resident</v>
          </cell>
          <cell r="S599" t="str">
            <v>Yes</v>
          </cell>
        </row>
        <row r="600">
          <cell r="C600" t="str">
            <v>Critical/Other Existing Credit</v>
          </cell>
          <cell r="D600" t="str">
            <v>New Car</v>
          </cell>
          <cell r="E600">
            <v>305250</v>
          </cell>
          <cell r="F600" t="str">
            <v>Less than 10000</v>
          </cell>
          <cell r="G600" t="str">
            <v>4-6 Years</v>
          </cell>
          <cell r="I600" t="str">
            <v>Male</v>
          </cell>
          <cell r="N600" t="str">
            <v>Own</v>
          </cell>
          <cell r="P600" t="str">
            <v>Skilled</v>
          </cell>
          <cell r="S600" t="str">
            <v>Yes</v>
          </cell>
        </row>
        <row r="601">
          <cell r="C601" t="str">
            <v>Delayed Previously</v>
          </cell>
          <cell r="D601" t="str">
            <v>Business</v>
          </cell>
          <cell r="E601">
            <v>424930</v>
          </cell>
          <cell r="F601" t="str">
            <v>Less than 10000</v>
          </cell>
          <cell r="G601" t="str">
            <v>1-4 Years</v>
          </cell>
          <cell r="I601" t="str">
            <v>Male</v>
          </cell>
          <cell r="N601" t="str">
            <v>For Free</v>
          </cell>
          <cell r="P601" t="str">
            <v>Skilled</v>
          </cell>
          <cell r="S601" t="str">
            <v>Yes</v>
          </cell>
        </row>
        <row r="602">
          <cell r="C602" t="str">
            <v>Existing Paid</v>
          </cell>
          <cell r="D602" t="str">
            <v>Radio/Tv</v>
          </cell>
          <cell r="E602">
            <v>256190</v>
          </cell>
          <cell r="F602" t="str">
            <v>Less than 10000</v>
          </cell>
          <cell r="G602" t="str">
            <v>Below 1Years</v>
          </cell>
          <cell r="I602" t="str">
            <v>Female</v>
          </cell>
          <cell r="N602" t="str">
            <v>Own</v>
          </cell>
          <cell r="P602" t="str">
            <v>Skilled</v>
          </cell>
          <cell r="S602" t="str">
            <v>Yes</v>
          </cell>
        </row>
        <row r="603">
          <cell r="C603" t="str">
            <v>Existing Paid</v>
          </cell>
          <cell r="D603" t="str">
            <v>Furniture/Equipment</v>
          </cell>
          <cell r="E603">
            <v>100980</v>
          </cell>
          <cell r="F603" t="str">
            <v>Less than 10000</v>
          </cell>
          <cell r="G603" t="str">
            <v>1-4 Years</v>
          </cell>
          <cell r="I603" t="str">
            <v>Female</v>
          </cell>
          <cell r="N603" t="str">
            <v>Own</v>
          </cell>
          <cell r="P603" t="str">
            <v>Skilled</v>
          </cell>
          <cell r="S603" t="str">
            <v>Yes</v>
          </cell>
        </row>
        <row r="604">
          <cell r="C604" t="str">
            <v>All Paid</v>
          </cell>
          <cell r="D604" t="str">
            <v>Education</v>
          </cell>
          <cell r="E604">
            <v>202070</v>
          </cell>
          <cell r="F604" t="str">
            <v>Less than 10000</v>
          </cell>
          <cell r="G604" t="str">
            <v>4-6 Years</v>
          </cell>
          <cell r="I604" t="str">
            <v>Female</v>
          </cell>
          <cell r="N604" t="str">
            <v>For Free</v>
          </cell>
          <cell r="P604" t="str">
            <v>Unskilled Resident</v>
          </cell>
          <cell r="S604" t="str">
            <v>Yes</v>
          </cell>
        </row>
        <row r="605">
          <cell r="C605" t="str">
            <v>Existing Paid</v>
          </cell>
          <cell r="D605" t="str">
            <v>Furniture/Equipment</v>
          </cell>
          <cell r="E605">
            <v>368390</v>
          </cell>
          <cell r="F605" t="str">
            <v>Less than 10000</v>
          </cell>
          <cell r="G605" t="str">
            <v>1-4 Years</v>
          </cell>
          <cell r="I605" t="str">
            <v>Female</v>
          </cell>
          <cell r="N605" t="str">
            <v>Own</v>
          </cell>
          <cell r="P605" t="str">
            <v>High Qualif/Self Emp/Mgmt</v>
          </cell>
          <cell r="S605" t="str">
            <v>Yes</v>
          </cell>
        </row>
        <row r="606">
          <cell r="C606" t="str">
            <v>Existing Paid</v>
          </cell>
          <cell r="D606" t="str">
            <v>Furniture/Equipment</v>
          </cell>
          <cell r="E606">
            <v>140250</v>
          </cell>
          <cell r="F606" t="str">
            <v>Less than 10000</v>
          </cell>
          <cell r="G606" t="str">
            <v>Below 1Years</v>
          </cell>
          <cell r="I606" t="str">
            <v>Female</v>
          </cell>
          <cell r="N606" t="str">
            <v>Own</v>
          </cell>
          <cell r="P606" t="str">
            <v>Skilled</v>
          </cell>
          <cell r="S606" t="str">
            <v>Yes</v>
          </cell>
        </row>
        <row r="607">
          <cell r="C607" t="str">
            <v>All Paid</v>
          </cell>
          <cell r="D607" t="str">
            <v>Furniture/Equipment</v>
          </cell>
          <cell r="E607">
            <v>311080</v>
          </cell>
          <cell r="F607" t="str">
            <v>50000 - 99999</v>
          </cell>
          <cell r="G607" t="str">
            <v>1-4 Years</v>
          </cell>
          <cell r="I607" t="str">
            <v>Male</v>
          </cell>
          <cell r="N607" t="str">
            <v>Own</v>
          </cell>
          <cell r="P607" t="str">
            <v>Skilled</v>
          </cell>
          <cell r="S607" t="str">
            <v>Yes</v>
          </cell>
        </row>
        <row r="608">
          <cell r="C608" t="str">
            <v>Critical/Other Existing Credit</v>
          </cell>
          <cell r="D608" t="str">
            <v>Business</v>
          </cell>
          <cell r="E608">
            <v>497860</v>
          </cell>
          <cell r="F608" t="str">
            <v>Less than 10000</v>
          </cell>
          <cell r="G608" t="str">
            <v>1-4 Years</v>
          </cell>
          <cell r="I608" t="str">
            <v>Male</v>
          </cell>
          <cell r="N608" t="str">
            <v>Own</v>
          </cell>
          <cell r="P608" t="str">
            <v>High Qualif/Self Emp/Mgmt</v>
          </cell>
          <cell r="S608" t="str">
            <v>Yes</v>
          </cell>
        </row>
        <row r="609">
          <cell r="C609" t="str">
            <v>Existing Paid</v>
          </cell>
          <cell r="D609" t="str">
            <v>Radio/Tv</v>
          </cell>
          <cell r="E609">
            <v>293810</v>
          </cell>
          <cell r="F609" t="str">
            <v>10000 - 49999</v>
          </cell>
          <cell r="G609" t="str">
            <v>1-4 Years</v>
          </cell>
          <cell r="I609" t="str">
            <v>Female</v>
          </cell>
          <cell r="N609" t="str">
            <v>For Free</v>
          </cell>
          <cell r="P609" t="str">
            <v>Skilled</v>
          </cell>
          <cell r="S609" t="str">
            <v>Yes</v>
          </cell>
        </row>
        <row r="610">
          <cell r="C610" t="str">
            <v>Existing Paid</v>
          </cell>
          <cell r="D610" t="str">
            <v>Radio/Tv</v>
          </cell>
          <cell r="E610">
            <v>225610</v>
          </cell>
          <cell r="F610" t="str">
            <v>Less than 10000</v>
          </cell>
          <cell r="G610" t="str">
            <v>Below 1Years</v>
          </cell>
          <cell r="I610" t="str">
            <v>Male</v>
          </cell>
          <cell r="N610" t="str">
            <v>Own</v>
          </cell>
          <cell r="P610" t="str">
            <v>Skilled</v>
          </cell>
          <cell r="S610" t="str">
            <v>Yes</v>
          </cell>
        </row>
        <row r="611">
          <cell r="C611" t="str">
            <v>Existing Paid</v>
          </cell>
          <cell r="D611" t="str">
            <v>Used Car</v>
          </cell>
          <cell r="E611">
            <v>143000</v>
          </cell>
          <cell r="F611" t="str">
            <v>No Savings</v>
          </cell>
          <cell r="G611" t="str">
            <v>7 Years</v>
          </cell>
          <cell r="I611" t="str">
            <v>Male</v>
          </cell>
          <cell r="N611" t="str">
            <v>For Free</v>
          </cell>
          <cell r="P611" t="str">
            <v>Skilled</v>
          </cell>
          <cell r="S611" t="str">
            <v>Yes</v>
          </cell>
        </row>
        <row r="612">
          <cell r="C612" t="str">
            <v>Existing Paid</v>
          </cell>
          <cell r="D612" t="str">
            <v>Domestic Appliance</v>
          </cell>
          <cell r="E612">
            <v>81510</v>
          </cell>
          <cell r="F612" t="str">
            <v>10000 - 49999</v>
          </cell>
          <cell r="G612" t="str">
            <v>Unemployed</v>
          </cell>
          <cell r="I612" t="str">
            <v>Female</v>
          </cell>
          <cell r="N612" t="str">
            <v>Own</v>
          </cell>
          <cell r="P612" t="str">
            <v>Skilled</v>
          </cell>
          <cell r="S612" t="str">
            <v>Yes</v>
          </cell>
        </row>
        <row r="613">
          <cell r="C613" t="str">
            <v>Existing Paid</v>
          </cell>
          <cell r="D613" t="str">
            <v>New Car</v>
          </cell>
          <cell r="E613">
            <v>136400</v>
          </cell>
          <cell r="F613" t="str">
            <v>10000 - 49999</v>
          </cell>
          <cell r="G613" t="str">
            <v>7 Years</v>
          </cell>
          <cell r="I613" t="str">
            <v>Female</v>
          </cell>
          <cell r="N613" t="str">
            <v>For Free</v>
          </cell>
          <cell r="P613" t="str">
            <v>Unskilled Resident</v>
          </cell>
          <cell r="S613" t="str">
            <v>Yes</v>
          </cell>
        </row>
        <row r="614">
          <cell r="C614" t="str">
            <v>Existing Paid</v>
          </cell>
          <cell r="D614" t="str">
            <v>Radio/Tv</v>
          </cell>
          <cell r="E614">
            <v>369270</v>
          </cell>
          <cell r="F614" t="str">
            <v>1,00000 or Above</v>
          </cell>
          <cell r="G614" t="str">
            <v>Below 1Years</v>
          </cell>
          <cell r="I614" t="str">
            <v>Female</v>
          </cell>
          <cell r="N614" t="str">
            <v>Own</v>
          </cell>
          <cell r="P614" t="str">
            <v>Skilled</v>
          </cell>
          <cell r="S614" t="str">
            <v>Yes</v>
          </cell>
        </row>
        <row r="615">
          <cell r="C615" t="str">
            <v>All Paid</v>
          </cell>
          <cell r="D615" t="str">
            <v>Used Car</v>
          </cell>
          <cell r="E615">
            <v>399520</v>
          </cell>
          <cell r="F615" t="str">
            <v>Less than 10000</v>
          </cell>
          <cell r="G615" t="str">
            <v>1-4 Years</v>
          </cell>
          <cell r="I615" t="str">
            <v>Female</v>
          </cell>
          <cell r="N615" t="str">
            <v>Rent</v>
          </cell>
          <cell r="P615" t="str">
            <v>Skilled</v>
          </cell>
          <cell r="S615" t="str">
            <v>No</v>
          </cell>
        </row>
        <row r="616">
          <cell r="C616" t="str">
            <v>Delayed Previously</v>
          </cell>
          <cell r="D616" t="str">
            <v>Furniture/Equipment</v>
          </cell>
          <cell r="E616">
            <v>198880</v>
          </cell>
          <cell r="F616" t="str">
            <v>Less than 10000</v>
          </cell>
          <cell r="G616" t="str">
            <v>4-6 Years</v>
          </cell>
          <cell r="I616" t="str">
            <v>Female</v>
          </cell>
          <cell r="N616" t="str">
            <v>Own</v>
          </cell>
          <cell r="P616" t="str">
            <v>Skilled</v>
          </cell>
          <cell r="S616" t="str">
            <v>Yes</v>
          </cell>
        </row>
        <row r="617">
          <cell r="C617" t="str">
            <v>No Credits/All Paid</v>
          </cell>
          <cell r="D617" t="str">
            <v>Business</v>
          </cell>
          <cell r="E617">
            <v>1342440</v>
          </cell>
          <cell r="F617" t="str">
            <v>No Savings</v>
          </cell>
          <cell r="G617" t="str">
            <v>1-4 Years</v>
          </cell>
          <cell r="I617" t="str">
            <v>Male</v>
          </cell>
          <cell r="N617" t="str">
            <v>Own</v>
          </cell>
          <cell r="P617" t="str">
            <v>High Qualif/Self Emp/Mgmt</v>
          </cell>
          <cell r="S617" t="str">
            <v>Yes</v>
          </cell>
        </row>
        <row r="618">
          <cell r="C618" t="str">
            <v>Delayed Previously</v>
          </cell>
          <cell r="D618" t="str">
            <v>Radio/Tv</v>
          </cell>
          <cell r="E618">
            <v>1007270</v>
          </cell>
          <cell r="F618" t="str">
            <v>No Savings</v>
          </cell>
          <cell r="G618" t="str">
            <v>1-4 Years</v>
          </cell>
          <cell r="I618" t="str">
            <v>Male</v>
          </cell>
          <cell r="N618" t="str">
            <v>For Free</v>
          </cell>
          <cell r="P618" t="str">
            <v>High Qualif/Self Emp/Mgmt</v>
          </cell>
          <cell r="S618" t="str">
            <v>Yes</v>
          </cell>
        </row>
        <row r="619">
          <cell r="C619" t="str">
            <v>Critical/Other Existing Credit</v>
          </cell>
          <cell r="D619" t="str">
            <v>New Car</v>
          </cell>
          <cell r="E619">
            <v>404360</v>
          </cell>
          <cell r="F619" t="str">
            <v>Less than 10000</v>
          </cell>
          <cell r="G619" t="str">
            <v>1-4 Years</v>
          </cell>
          <cell r="I619" t="str">
            <v>Male</v>
          </cell>
          <cell r="N619" t="str">
            <v>Rent</v>
          </cell>
          <cell r="P619" t="str">
            <v>Skilled</v>
          </cell>
          <cell r="S619" t="str">
            <v>Yes</v>
          </cell>
        </row>
        <row r="620">
          <cell r="C620" t="str">
            <v>Existing Paid</v>
          </cell>
          <cell r="D620" t="str">
            <v>Furniture/Equipment</v>
          </cell>
          <cell r="E620">
            <v>378510</v>
          </cell>
          <cell r="F620" t="str">
            <v>10000 - 49999</v>
          </cell>
          <cell r="G620" t="str">
            <v>1-4 Years</v>
          </cell>
          <cell r="I620" t="str">
            <v>Female</v>
          </cell>
          <cell r="N620" t="str">
            <v>Rent</v>
          </cell>
          <cell r="P620" t="str">
            <v>Skilled</v>
          </cell>
          <cell r="S620" t="str">
            <v>Yes</v>
          </cell>
        </row>
        <row r="621">
          <cell r="C621" t="str">
            <v>Existing Paid</v>
          </cell>
          <cell r="D621" t="str">
            <v>New Car</v>
          </cell>
          <cell r="E621">
            <v>70400</v>
          </cell>
          <cell r="F621" t="str">
            <v>Less than 10000</v>
          </cell>
          <cell r="G621" t="str">
            <v>1-4 Years</v>
          </cell>
          <cell r="I621" t="str">
            <v>Male</v>
          </cell>
          <cell r="N621" t="str">
            <v>Own</v>
          </cell>
          <cell r="P621" t="str">
            <v>Unskilled Resident</v>
          </cell>
          <cell r="S621" t="str">
            <v>Yes</v>
          </cell>
        </row>
        <row r="622">
          <cell r="C622" t="str">
            <v>Critical/Other Existing Credit</v>
          </cell>
          <cell r="D622" t="str">
            <v>Business</v>
          </cell>
          <cell r="E622">
            <v>401720</v>
          </cell>
          <cell r="F622" t="str">
            <v>Less than 10000</v>
          </cell>
          <cell r="G622" t="str">
            <v>4-6 Years</v>
          </cell>
          <cell r="I622" t="str">
            <v>Male</v>
          </cell>
          <cell r="N622" t="str">
            <v>Own</v>
          </cell>
          <cell r="P622" t="str">
            <v>Skilled</v>
          </cell>
          <cell r="S622" t="str">
            <v>Yes</v>
          </cell>
        </row>
        <row r="623">
          <cell r="C623" t="str">
            <v>Critical/Other Existing Credit</v>
          </cell>
          <cell r="D623" t="str">
            <v>New Car</v>
          </cell>
          <cell r="E623">
            <v>168300</v>
          </cell>
          <cell r="F623" t="str">
            <v>Less than 10000</v>
          </cell>
          <cell r="G623" t="str">
            <v>1-4 Years</v>
          </cell>
          <cell r="I623" t="str">
            <v>Male</v>
          </cell>
          <cell r="N623" t="str">
            <v>Own</v>
          </cell>
          <cell r="P623" t="str">
            <v>Skilled</v>
          </cell>
          <cell r="S623" t="str">
            <v>Yes</v>
          </cell>
        </row>
        <row r="624">
          <cell r="C624" t="str">
            <v>Existing Paid</v>
          </cell>
          <cell r="D624" t="str">
            <v>Business</v>
          </cell>
          <cell r="E624">
            <v>430540</v>
          </cell>
          <cell r="F624" t="str">
            <v>No Savings</v>
          </cell>
          <cell r="G624" t="str">
            <v>1-4 Years</v>
          </cell>
          <cell r="I624" t="str">
            <v>Male</v>
          </cell>
          <cell r="N624" t="str">
            <v>Own</v>
          </cell>
          <cell r="P624" t="str">
            <v>Skilled</v>
          </cell>
          <cell r="S624" t="str">
            <v>Yes</v>
          </cell>
        </row>
        <row r="625">
          <cell r="C625" t="str">
            <v>Existing Paid</v>
          </cell>
          <cell r="D625" t="str">
            <v>Furniture/Equipment</v>
          </cell>
          <cell r="E625">
            <v>204380</v>
          </cell>
          <cell r="F625" t="str">
            <v>Less than 10000</v>
          </cell>
          <cell r="G625" t="str">
            <v>Below 1Years</v>
          </cell>
          <cell r="I625" t="str">
            <v>Female</v>
          </cell>
          <cell r="N625" t="str">
            <v>Rent</v>
          </cell>
          <cell r="P625" t="str">
            <v>Skilled</v>
          </cell>
          <cell r="S625" t="str">
            <v>Yes</v>
          </cell>
        </row>
        <row r="626">
          <cell r="C626" t="str">
            <v>Existing Paid</v>
          </cell>
          <cell r="D626" t="str">
            <v>Radio/Tv</v>
          </cell>
          <cell r="E626">
            <v>286000</v>
          </cell>
          <cell r="F626" t="str">
            <v>Less than 10000</v>
          </cell>
          <cell r="G626" t="str">
            <v>1-4 Years</v>
          </cell>
          <cell r="I626" t="str">
            <v>Male</v>
          </cell>
          <cell r="N626" t="str">
            <v>For Free</v>
          </cell>
          <cell r="P626" t="str">
            <v>Skilled</v>
          </cell>
          <cell r="S626" t="str">
            <v>Yes</v>
          </cell>
        </row>
        <row r="627">
          <cell r="C627" t="str">
            <v>Existing Paid</v>
          </cell>
          <cell r="D627" t="str">
            <v>Radio/Tv</v>
          </cell>
          <cell r="E627">
            <v>217690</v>
          </cell>
          <cell r="F627" t="str">
            <v>No Savings</v>
          </cell>
          <cell r="G627" t="str">
            <v>7 Years</v>
          </cell>
          <cell r="I627" t="str">
            <v>Male</v>
          </cell>
          <cell r="N627" t="str">
            <v>Own</v>
          </cell>
          <cell r="P627" t="str">
            <v>Skilled</v>
          </cell>
          <cell r="S627" t="str">
            <v>Yes</v>
          </cell>
        </row>
        <row r="628">
          <cell r="C628" t="str">
            <v>Existing Paid</v>
          </cell>
          <cell r="D628" t="str">
            <v>Furniture/Equipment</v>
          </cell>
          <cell r="E628">
            <v>232760</v>
          </cell>
          <cell r="F628" t="str">
            <v>Less than 10000</v>
          </cell>
          <cell r="G628" t="str">
            <v>1-4 Years</v>
          </cell>
          <cell r="I628" t="str">
            <v>Male</v>
          </cell>
          <cell r="N628" t="str">
            <v>Own</v>
          </cell>
          <cell r="P628" t="str">
            <v>Skilled</v>
          </cell>
          <cell r="S628" t="str">
            <v>Yes</v>
          </cell>
        </row>
        <row r="629">
          <cell r="C629" t="str">
            <v>All Paid</v>
          </cell>
          <cell r="D629" t="str">
            <v>New Car</v>
          </cell>
          <cell r="E629">
            <v>158070</v>
          </cell>
          <cell r="F629" t="str">
            <v>10000 - 49999</v>
          </cell>
          <cell r="G629" t="str">
            <v>4-6 Years</v>
          </cell>
          <cell r="I629" t="str">
            <v>Male</v>
          </cell>
          <cell r="N629" t="str">
            <v>Own</v>
          </cell>
          <cell r="P629" t="str">
            <v>Skilled</v>
          </cell>
          <cell r="S629" t="str">
            <v>Yes</v>
          </cell>
        </row>
        <row r="630">
          <cell r="C630" t="str">
            <v>Critical/Other Existing Credit</v>
          </cell>
          <cell r="D630" t="str">
            <v>Furniture/Equipment</v>
          </cell>
          <cell r="E630">
            <v>444620</v>
          </cell>
          <cell r="F630" t="str">
            <v>50000 - 99999</v>
          </cell>
          <cell r="G630" t="str">
            <v>1-4 Years</v>
          </cell>
          <cell r="I630" t="str">
            <v>Male</v>
          </cell>
          <cell r="N630" t="str">
            <v>Own</v>
          </cell>
          <cell r="P630" t="str">
            <v>Skilled</v>
          </cell>
          <cell r="S630" t="str">
            <v>Yes</v>
          </cell>
        </row>
        <row r="631">
          <cell r="C631" t="str">
            <v>Existing Paid</v>
          </cell>
          <cell r="D631" t="str">
            <v>Education</v>
          </cell>
          <cell r="E631">
            <v>421520</v>
          </cell>
          <cell r="F631" t="str">
            <v>No Savings</v>
          </cell>
          <cell r="G631" t="str">
            <v>7 Years</v>
          </cell>
          <cell r="I631" t="str">
            <v>Male</v>
          </cell>
          <cell r="N631" t="str">
            <v>Own</v>
          </cell>
          <cell r="P631" t="str">
            <v>Unskilled Resident</v>
          </cell>
          <cell r="S631" t="str">
            <v>Yes</v>
          </cell>
        </row>
        <row r="632">
          <cell r="C632" t="str">
            <v>Existing Paid</v>
          </cell>
          <cell r="D632" t="str">
            <v>Radio/Tv</v>
          </cell>
          <cell r="E632">
            <v>402600</v>
          </cell>
          <cell r="F632" t="str">
            <v>Less than 10000</v>
          </cell>
          <cell r="G632" t="str">
            <v>1-4 Years</v>
          </cell>
          <cell r="I632" t="str">
            <v>Female</v>
          </cell>
          <cell r="N632" t="str">
            <v>Own</v>
          </cell>
          <cell r="P632" t="str">
            <v>Skilled</v>
          </cell>
          <cell r="S632" t="str">
            <v>Yes</v>
          </cell>
        </row>
        <row r="633">
          <cell r="C633" t="str">
            <v>All Paid</v>
          </cell>
          <cell r="D633" t="str">
            <v>Furniture/Equipment</v>
          </cell>
          <cell r="E633">
            <v>170830</v>
          </cell>
          <cell r="F633" t="str">
            <v>Less than 10000</v>
          </cell>
          <cell r="G633" t="str">
            <v>1-4 Years</v>
          </cell>
          <cell r="I633" t="str">
            <v>Male</v>
          </cell>
          <cell r="N633" t="str">
            <v>Own</v>
          </cell>
          <cell r="P633" t="str">
            <v>Skilled</v>
          </cell>
          <cell r="S633" t="str">
            <v>Yes</v>
          </cell>
        </row>
        <row r="634">
          <cell r="C634" t="str">
            <v>Existing Paid</v>
          </cell>
          <cell r="D634" t="str">
            <v>Radio/Tv</v>
          </cell>
          <cell r="E634">
            <v>158840</v>
          </cell>
          <cell r="F634" t="str">
            <v>No Savings</v>
          </cell>
          <cell r="G634" t="str">
            <v>Below 1Years</v>
          </cell>
          <cell r="I634" t="str">
            <v>Male</v>
          </cell>
          <cell r="N634" t="str">
            <v>Own</v>
          </cell>
          <cell r="P634" t="str">
            <v>Skilled</v>
          </cell>
          <cell r="S634" t="str">
            <v>Yes</v>
          </cell>
        </row>
        <row r="635">
          <cell r="C635" t="str">
            <v>Existing Paid</v>
          </cell>
          <cell r="D635" t="str">
            <v>Furniture/Equipment</v>
          </cell>
          <cell r="E635">
            <v>217800</v>
          </cell>
          <cell r="F635" t="str">
            <v>Less than 10000</v>
          </cell>
          <cell r="G635" t="str">
            <v>Below 1Years</v>
          </cell>
          <cell r="I635" t="str">
            <v>Female</v>
          </cell>
          <cell r="N635" t="str">
            <v>Rent</v>
          </cell>
          <cell r="P635" t="str">
            <v>Skilled</v>
          </cell>
          <cell r="S635" t="str">
            <v>Yes</v>
          </cell>
        </row>
        <row r="636">
          <cell r="C636" t="str">
            <v>Existing Paid</v>
          </cell>
          <cell r="D636" t="str">
            <v>New Car</v>
          </cell>
          <cell r="E636">
            <v>149050</v>
          </cell>
          <cell r="F636" t="str">
            <v>Less than 10000</v>
          </cell>
          <cell r="G636" t="str">
            <v>Below 1Years</v>
          </cell>
          <cell r="I636" t="str">
            <v>Female</v>
          </cell>
          <cell r="N636" t="str">
            <v>Own</v>
          </cell>
          <cell r="P636" t="str">
            <v>Unskilled Resident</v>
          </cell>
          <cell r="S636" t="str">
            <v>Yes</v>
          </cell>
        </row>
        <row r="637">
          <cell r="C637" t="str">
            <v>Existing Paid</v>
          </cell>
          <cell r="D637" t="str">
            <v>Education</v>
          </cell>
          <cell r="E637">
            <v>153230</v>
          </cell>
          <cell r="F637" t="str">
            <v>Less than 10000</v>
          </cell>
          <cell r="G637" t="str">
            <v>7 Years</v>
          </cell>
          <cell r="I637" t="str">
            <v>Male</v>
          </cell>
          <cell r="N637" t="str">
            <v>Own</v>
          </cell>
          <cell r="P637" t="str">
            <v>Skilled</v>
          </cell>
          <cell r="S637" t="str">
            <v>Yes</v>
          </cell>
        </row>
        <row r="638">
          <cell r="C638" t="str">
            <v>Existing Paid</v>
          </cell>
          <cell r="D638" t="str">
            <v>Radio/Tv</v>
          </cell>
          <cell r="E638">
            <v>151360</v>
          </cell>
          <cell r="F638" t="str">
            <v>50000 - 99999</v>
          </cell>
          <cell r="G638" t="str">
            <v>4-6 Years</v>
          </cell>
          <cell r="I638" t="str">
            <v>Female</v>
          </cell>
          <cell r="N638" t="str">
            <v>Own</v>
          </cell>
          <cell r="P638" t="str">
            <v>Skilled</v>
          </cell>
          <cell r="S638" t="str">
            <v>Yes</v>
          </cell>
        </row>
        <row r="639">
          <cell r="C639" t="str">
            <v>Delayed Previously</v>
          </cell>
          <cell r="D639" t="str">
            <v>Radio/Tv</v>
          </cell>
          <cell r="E639">
            <v>1721830</v>
          </cell>
          <cell r="F639" t="str">
            <v>Less than 10000</v>
          </cell>
          <cell r="G639" t="str">
            <v>4-6 Years</v>
          </cell>
          <cell r="I639" t="str">
            <v>Male</v>
          </cell>
          <cell r="N639" t="str">
            <v>Own</v>
          </cell>
          <cell r="P639" t="str">
            <v>Skilled</v>
          </cell>
          <cell r="S639" t="str">
            <v>Yes</v>
          </cell>
        </row>
        <row r="640">
          <cell r="C640" t="str">
            <v>Existing Paid</v>
          </cell>
          <cell r="D640" t="str">
            <v>Radio/Tv</v>
          </cell>
          <cell r="E640">
            <v>164230</v>
          </cell>
          <cell r="F640" t="str">
            <v>Less than 10000</v>
          </cell>
          <cell r="G640" t="str">
            <v>Below 1Years</v>
          </cell>
          <cell r="I640" t="str">
            <v>Female</v>
          </cell>
          <cell r="N640" t="str">
            <v>Own</v>
          </cell>
          <cell r="P640" t="str">
            <v>Skilled</v>
          </cell>
          <cell r="S640" t="str">
            <v>Yes</v>
          </cell>
        </row>
        <row r="641">
          <cell r="C641" t="str">
            <v>Delayed Previously</v>
          </cell>
          <cell r="D641" t="str">
            <v>Radio/Tv</v>
          </cell>
          <cell r="E641">
            <v>480700</v>
          </cell>
          <cell r="F641" t="str">
            <v>Less than 10000</v>
          </cell>
          <cell r="G641" t="str">
            <v>4-6 Years</v>
          </cell>
          <cell r="I641" t="str">
            <v>Male</v>
          </cell>
          <cell r="N641" t="str">
            <v>Own</v>
          </cell>
          <cell r="P641" t="str">
            <v>Skilled</v>
          </cell>
          <cell r="S641" t="str">
            <v>Yes</v>
          </cell>
        </row>
        <row r="642">
          <cell r="C642" t="str">
            <v>Existing Paid</v>
          </cell>
          <cell r="D642" t="str">
            <v>Education</v>
          </cell>
          <cell r="E642">
            <v>82500</v>
          </cell>
          <cell r="F642" t="str">
            <v>Less than 10000</v>
          </cell>
          <cell r="G642" t="str">
            <v>Unemployed</v>
          </cell>
          <cell r="I642" t="str">
            <v>Female</v>
          </cell>
          <cell r="N642" t="str">
            <v>Own</v>
          </cell>
          <cell r="P642" t="str">
            <v>Unemp/Unskilled Non Res</v>
          </cell>
          <cell r="S642" t="str">
            <v>Yes</v>
          </cell>
        </row>
        <row r="643">
          <cell r="C643" t="str">
            <v>Existing Paid</v>
          </cell>
          <cell r="D643" t="str">
            <v>Repairs</v>
          </cell>
          <cell r="E643">
            <v>143880</v>
          </cell>
          <cell r="F643" t="str">
            <v>Less than 10000</v>
          </cell>
          <cell r="G643" t="str">
            <v>7 Years</v>
          </cell>
          <cell r="I643" t="str">
            <v>Male</v>
          </cell>
          <cell r="N643" t="str">
            <v>Own</v>
          </cell>
          <cell r="P643" t="str">
            <v>Unskilled Resident</v>
          </cell>
          <cell r="S643" t="str">
            <v>Yes</v>
          </cell>
        </row>
        <row r="644">
          <cell r="C644" t="str">
            <v>Existing Paid</v>
          </cell>
          <cell r="D644" t="str">
            <v>Education</v>
          </cell>
          <cell r="E644">
            <v>508530</v>
          </cell>
          <cell r="F644" t="str">
            <v>10000 - 49999</v>
          </cell>
          <cell r="G644" t="str">
            <v>1-4 Years</v>
          </cell>
          <cell r="I644" t="str">
            <v>Male</v>
          </cell>
          <cell r="N644" t="str">
            <v>Own</v>
          </cell>
          <cell r="P644" t="str">
            <v>High Qualif/Self Emp/Mgmt</v>
          </cell>
          <cell r="S644" t="str">
            <v>Yes</v>
          </cell>
        </row>
        <row r="645">
          <cell r="C645" t="str">
            <v>Critical/Other Existing Credit</v>
          </cell>
          <cell r="D645" t="str">
            <v>Radio/Tv</v>
          </cell>
          <cell r="E645">
            <v>203610</v>
          </cell>
          <cell r="F645" t="str">
            <v>Less than 10000</v>
          </cell>
          <cell r="G645" t="str">
            <v>4-6 Years</v>
          </cell>
          <cell r="I645" t="str">
            <v>Male</v>
          </cell>
          <cell r="N645" t="str">
            <v>Own</v>
          </cell>
          <cell r="P645" t="str">
            <v>Skilled</v>
          </cell>
          <cell r="S645" t="str">
            <v>Yes</v>
          </cell>
        </row>
        <row r="646">
          <cell r="C646" t="str">
            <v>Critical/Other Existing Credit</v>
          </cell>
          <cell r="D646" t="str">
            <v>Radio/Tv</v>
          </cell>
          <cell r="E646">
            <v>206800</v>
          </cell>
          <cell r="F646" t="str">
            <v>Less than 10000</v>
          </cell>
          <cell r="G646" t="str">
            <v>4-6 Years</v>
          </cell>
          <cell r="I646" t="str">
            <v>Male</v>
          </cell>
          <cell r="N646" t="str">
            <v>Own</v>
          </cell>
          <cell r="P646" t="str">
            <v>High Qualif/Self Emp/Mgmt</v>
          </cell>
          <cell r="S646" t="str">
            <v>Yes</v>
          </cell>
        </row>
        <row r="647">
          <cell r="C647" t="str">
            <v>Delayed Previously</v>
          </cell>
          <cell r="D647" t="str">
            <v>Business</v>
          </cell>
          <cell r="E647">
            <v>877800</v>
          </cell>
          <cell r="F647" t="str">
            <v>No Savings</v>
          </cell>
          <cell r="G647" t="str">
            <v>Below 1Years</v>
          </cell>
          <cell r="I647" t="str">
            <v>Male</v>
          </cell>
          <cell r="N647" t="str">
            <v>Rent</v>
          </cell>
          <cell r="P647" t="str">
            <v>Skilled</v>
          </cell>
          <cell r="S647" t="str">
            <v>Yes</v>
          </cell>
        </row>
        <row r="648">
          <cell r="C648" t="str">
            <v>No Credits/All Paid</v>
          </cell>
          <cell r="D648" t="str">
            <v>Furniture/Equipment</v>
          </cell>
          <cell r="E648">
            <v>504130</v>
          </cell>
          <cell r="F648" t="str">
            <v>Less than 10000</v>
          </cell>
          <cell r="G648" t="str">
            <v>1-4 Years</v>
          </cell>
          <cell r="I648" t="str">
            <v>Male</v>
          </cell>
          <cell r="N648" t="str">
            <v>Own</v>
          </cell>
          <cell r="P648" t="str">
            <v>Skilled</v>
          </cell>
          <cell r="S648" t="str">
            <v>Yes</v>
          </cell>
        </row>
        <row r="649">
          <cell r="C649" t="str">
            <v>Existing Paid</v>
          </cell>
          <cell r="D649" t="str">
            <v>New Car</v>
          </cell>
          <cell r="E649">
            <v>152460</v>
          </cell>
          <cell r="F649" t="str">
            <v>50000 - 99999</v>
          </cell>
          <cell r="G649" t="str">
            <v>1-4 Years</v>
          </cell>
          <cell r="I649" t="str">
            <v>Female</v>
          </cell>
          <cell r="N649" t="str">
            <v>Own</v>
          </cell>
          <cell r="P649" t="str">
            <v>Skilled</v>
          </cell>
          <cell r="S649" t="str">
            <v>Yes</v>
          </cell>
        </row>
        <row r="650">
          <cell r="C650" t="str">
            <v>Existing Paid</v>
          </cell>
          <cell r="D650" t="str">
            <v>New Car</v>
          </cell>
          <cell r="E650">
            <v>104170</v>
          </cell>
          <cell r="F650" t="str">
            <v>Less than 10000</v>
          </cell>
          <cell r="G650" t="str">
            <v>4-6 Years</v>
          </cell>
          <cell r="I650" t="str">
            <v>Male</v>
          </cell>
          <cell r="N650" t="str">
            <v>For Free</v>
          </cell>
          <cell r="P650" t="str">
            <v>Skilled</v>
          </cell>
          <cell r="S650" t="str">
            <v>Yes</v>
          </cell>
        </row>
        <row r="651">
          <cell r="C651" t="str">
            <v>Existing Paid</v>
          </cell>
          <cell r="D651" t="str">
            <v>Education</v>
          </cell>
          <cell r="E651">
            <v>75240</v>
          </cell>
          <cell r="F651" t="str">
            <v>Less than 10000</v>
          </cell>
          <cell r="G651" t="str">
            <v>1-4 Years</v>
          </cell>
          <cell r="I651" t="str">
            <v>Male</v>
          </cell>
          <cell r="N651" t="str">
            <v>Rent</v>
          </cell>
          <cell r="P651" t="str">
            <v>Unskilled Resident</v>
          </cell>
          <cell r="S651" t="str">
            <v>Yes</v>
          </cell>
        </row>
        <row r="652">
          <cell r="C652" t="str">
            <v>Existing Paid</v>
          </cell>
          <cell r="D652" t="str">
            <v>Education</v>
          </cell>
          <cell r="E652">
            <v>822360</v>
          </cell>
          <cell r="F652" t="str">
            <v>Less than 10000</v>
          </cell>
          <cell r="G652" t="str">
            <v>4-6 Years</v>
          </cell>
          <cell r="I652" t="str">
            <v>Male</v>
          </cell>
          <cell r="N652" t="str">
            <v>For Free</v>
          </cell>
          <cell r="P652" t="str">
            <v>High Qualif/Self Emp/Mgmt</v>
          </cell>
          <cell r="S652" t="str">
            <v>Yes</v>
          </cell>
        </row>
        <row r="653">
          <cell r="C653" t="str">
            <v>Existing Paid</v>
          </cell>
          <cell r="D653" t="str">
            <v>Furniture/Equipment</v>
          </cell>
          <cell r="E653">
            <v>211420</v>
          </cell>
          <cell r="F653" t="str">
            <v>Less than 10000</v>
          </cell>
          <cell r="G653" t="str">
            <v>1-4 Years</v>
          </cell>
          <cell r="I653" t="str">
            <v>Male</v>
          </cell>
          <cell r="N653" t="str">
            <v>Own</v>
          </cell>
          <cell r="P653" t="str">
            <v>Unskilled Resident</v>
          </cell>
          <cell r="S653" t="str">
            <v>Yes</v>
          </cell>
        </row>
        <row r="654">
          <cell r="C654" t="str">
            <v>Existing Paid</v>
          </cell>
          <cell r="D654" t="str">
            <v>New Car</v>
          </cell>
          <cell r="E654">
            <v>253330</v>
          </cell>
          <cell r="F654" t="str">
            <v>Less than 10000</v>
          </cell>
          <cell r="G654" t="str">
            <v>7 Years</v>
          </cell>
          <cell r="I654" t="str">
            <v>Male</v>
          </cell>
          <cell r="N654" t="str">
            <v>Own</v>
          </cell>
          <cell r="P654" t="str">
            <v>Skilled</v>
          </cell>
          <cell r="S654" t="str">
            <v>Yes</v>
          </cell>
        </row>
        <row r="655">
          <cell r="C655" t="str">
            <v>Delayed Previously</v>
          </cell>
          <cell r="D655" t="str">
            <v>New Car</v>
          </cell>
          <cell r="E655">
            <v>889460</v>
          </cell>
          <cell r="F655" t="str">
            <v>10000 - 49999</v>
          </cell>
          <cell r="G655" t="str">
            <v>7 Years</v>
          </cell>
          <cell r="I655" t="str">
            <v>Male</v>
          </cell>
          <cell r="N655" t="str">
            <v>Own</v>
          </cell>
          <cell r="P655" t="str">
            <v>High Qualif/Self Emp/Mgmt</v>
          </cell>
          <cell r="S655" t="str">
            <v>Yes</v>
          </cell>
        </row>
        <row r="656">
          <cell r="C656" t="str">
            <v>Critical/Other Existing Credit</v>
          </cell>
          <cell r="D656" t="str">
            <v>Used Car</v>
          </cell>
          <cell r="E656">
            <v>258060</v>
          </cell>
          <cell r="F656" t="str">
            <v>Less than 10000</v>
          </cell>
          <cell r="G656" t="str">
            <v>4-6 Years</v>
          </cell>
          <cell r="I656" t="str">
            <v>Male</v>
          </cell>
          <cell r="N656" t="str">
            <v>Own</v>
          </cell>
          <cell r="P656" t="str">
            <v>Skilled</v>
          </cell>
          <cell r="S656" t="str">
            <v>Yes</v>
          </cell>
        </row>
        <row r="657">
          <cell r="C657" t="str">
            <v>Existing Paid</v>
          </cell>
          <cell r="D657" t="str">
            <v>New Car</v>
          </cell>
          <cell r="E657">
            <v>437030</v>
          </cell>
          <cell r="F657" t="str">
            <v>Less than 10000</v>
          </cell>
          <cell r="G657" t="str">
            <v>Unemployed</v>
          </cell>
          <cell r="I657" t="str">
            <v>Male</v>
          </cell>
          <cell r="N657" t="str">
            <v>For Free</v>
          </cell>
          <cell r="P657" t="str">
            <v>Skilled</v>
          </cell>
          <cell r="S657" t="str">
            <v>Yes</v>
          </cell>
        </row>
        <row r="658">
          <cell r="C658" t="str">
            <v>Existing Paid</v>
          </cell>
          <cell r="D658" t="str">
            <v>New Car</v>
          </cell>
          <cell r="E658">
            <v>97680</v>
          </cell>
          <cell r="F658" t="str">
            <v>Less than 10000</v>
          </cell>
          <cell r="G658" t="str">
            <v>7 Years</v>
          </cell>
          <cell r="I658" t="str">
            <v>Male</v>
          </cell>
          <cell r="N658" t="str">
            <v>Own</v>
          </cell>
          <cell r="P658" t="str">
            <v>Unskilled Resident</v>
          </cell>
          <cell r="S658" t="str">
            <v>Yes</v>
          </cell>
        </row>
        <row r="659">
          <cell r="C659" t="str">
            <v>Existing Paid</v>
          </cell>
          <cell r="D659" t="str">
            <v>Radio/Tv</v>
          </cell>
          <cell r="E659">
            <v>1124420</v>
          </cell>
          <cell r="F659" t="str">
            <v>No Savings</v>
          </cell>
          <cell r="G659" t="str">
            <v>4-6 Years</v>
          </cell>
          <cell r="I659" t="str">
            <v>Male</v>
          </cell>
          <cell r="N659" t="str">
            <v>Own</v>
          </cell>
          <cell r="P659" t="str">
            <v>Skilled</v>
          </cell>
          <cell r="S659" t="str">
            <v>Yes</v>
          </cell>
        </row>
        <row r="660">
          <cell r="C660" t="str">
            <v>No Credits/All Paid</v>
          </cell>
          <cell r="D660" t="str">
            <v>Business</v>
          </cell>
          <cell r="E660">
            <v>464310</v>
          </cell>
          <cell r="F660" t="str">
            <v>Less than 10000</v>
          </cell>
          <cell r="G660" t="str">
            <v>1-4 Years</v>
          </cell>
          <cell r="I660" t="str">
            <v>Female</v>
          </cell>
          <cell r="N660" t="str">
            <v>Own</v>
          </cell>
          <cell r="P660" t="str">
            <v>Skilled</v>
          </cell>
          <cell r="S660" t="str">
            <v>Yes</v>
          </cell>
        </row>
        <row r="661">
          <cell r="C661" t="str">
            <v>Critical/Other Existing Credit</v>
          </cell>
          <cell r="D661" t="str">
            <v>Furniture/Equipment</v>
          </cell>
          <cell r="E661">
            <v>699710</v>
          </cell>
          <cell r="F661" t="str">
            <v>Less than 10000</v>
          </cell>
          <cell r="G661" t="str">
            <v>7 Years</v>
          </cell>
          <cell r="I661" t="str">
            <v>Male</v>
          </cell>
          <cell r="N661" t="str">
            <v>Own</v>
          </cell>
          <cell r="P661" t="str">
            <v>Skilled</v>
          </cell>
          <cell r="S661" t="str">
            <v>Yes</v>
          </cell>
        </row>
        <row r="662">
          <cell r="C662" t="str">
            <v>Existing Paid</v>
          </cell>
          <cell r="D662" t="str">
            <v>Radio/Tv</v>
          </cell>
          <cell r="E662">
            <v>142670</v>
          </cell>
          <cell r="F662" t="str">
            <v>Less than 10000</v>
          </cell>
          <cell r="G662" t="str">
            <v>1-4 Years</v>
          </cell>
          <cell r="I662" t="str">
            <v>Male</v>
          </cell>
          <cell r="N662" t="str">
            <v>Rent</v>
          </cell>
          <cell r="P662" t="str">
            <v>Skilled</v>
          </cell>
          <cell r="S662" t="str">
            <v>Yes</v>
          </cell>
        </row>
        <row r="663">
          <cell r="C663" t="str">
            <v>Existing Paid</v>
          </cell>
          <cell r="D663" t="str">
            <v>New Car</v>
          </cell>
          <cell r="E663">
            <v>99000</v>
          </cell>
          <cell r="F663" t="str">
            <v>No Savings</v>
          </cell>
          <cell r="G663" t="str">
            <v>1-4 Years</v>
          </cell>
          <cell r="I663" t="str">
            <v>Male</v>
          </cell>
          <cell r="N663" t="str">
            <v>Own</v>
          </cell>
          <cell r="P663" t="str">
            <v>Skilled</v>
          </cell>
          <cell r="S663" t="str">
            <v>Yes</v>
          </cell>
        </row>
        <row r="664">
          <cell r="C664" t="str">
            <v>Existing Paid</v>
          </cell>
          <cell r="D664" t="str">
            <v>Furniture/Equipment</v>
          </cell>
          <cell r="E664">
            <v>246510</v>
          </cell>
          <cell r="F664" t="str">
            <v>Less than 10000</v>
          </cell>
          <cell r="G664" t="str">
            <v>7 Years</v>
          </cell>
          <cell r="I664" t="str">
            <v>Male</v>
          </cell>
          <cell r="N664" t="str">
            <v>Own</v>
          </cell>
          <cell r="P664" t="str">
            <v>Skilled</v>
          </cell>
          <cell r="S664" t="str">
            <v>Yes</v>
          </cell>
        </row>
        <row r="665">
          <cell r="C665" t="str">
            <v>Delayed Previously</v>
          </cell>
          <cell r="D665" t="str">
            <v>Furniture/Equipment</v>
          </cell>
          <cell r="E665">
            <v>115500</v>
          </cell>
          <cell r="F665" t="str">
            <v>Less than 10000</v>
          </cell>
          <cell r="G665" t="str">
            <v>Unemployed</v>
          </cell>
          <cell r="I665" t="str">
            <v>Male</v>
          </cell>
          <cell r="N665" t="str">
            <v>Own</v>
          </cell>
          <cell r="P665" t="str">
            <v>High Qualif/Self Emp/Mgmt</v>
          </cell>
          <cell r="S665" t="str">
            <v>Yes</v>
          </cell>
        </row>
        <row r="666">
          <cell r="C666" t="str">
            <v>Critical/Other Existing Credit</v>
          </cell>
          <cell r="D666" t="str">
            <v>Education</v>
          </cell>
          <cell r="E666">
            <v>115170</v>
          </cell>
          <cell r="F666" t="str">
            <v>Less than 10000</v>
          </cell>
          <cell r="G666" t="str">
            <v>1-4 Years</v>
          </cell>
          <cell r="I666" t="str">
            <v>Female</v>
          </cell>
          <cell r="N666" t="str">
            <v>Own</v>
          </cell>
          <cell r="P666" t="str">
            <v>Unskilled Resident</v>
          </cell>
          <cell r="S666" t="str">
            <v>Yes</v>
          </cell>
        </row>
        <row r="667">
          <cell r="C667" t="str">
            <v>Critical/Other Existing Credit</v>
          </cell>
          <cell r="D667" t="str">
            <v>Other</v>
          </cell>
          <cell r="E667">
            <v>694540</v>
          </cell>
          <cell r="F667" t="str">
            <v>Less than 10000</v>
          </cell>
          <cell r="G667" t="str">
            <v>Unemployed</v>
          </cell>
          <cell r="I667" t="str">
            <v>Male</v>
          </cell>
          <cell r="N667" t="str">
            <v>Own</v>
          </cell>
          <cell r="P667" t="str">
            <v>High Qualif/Self Emp/Mgmt</v>
          </cell>
          <cell r="S667" t="str">
            <v>Yes</v>
          </cell>
        </row>
        <row r="668">
          <cell r="C668" t="str">
            <v>All Paid</v>
          </cell>
          <cell r="D668" t="str">
            <v>Furniture/Equipment</v>
          </cell>
          <cell r="E668">
            <v>384560</v>
          </cell>
          <cell r="F668" t="str">
            <v>1,00000 or Above</v>
          </cell>
          <cell r="G668" t="str">
            <v>1-4 Years</v>
          </cell>
          <cell r="I668" t="str">
            <v>Male</v>
          </cell>
          <cell r="N668" t="str">
            <v>Own</v>
          </cell>
          <cell r="P668" t="str">
            <v>Skilled</v>
          </cell>
          <cell r="S668" t="str">
            <v>Yes</v>
          </cell>
        </row>
        <row r="669">
          <cell r="C669" t="str">
            <v>All Paid</v>
          </cell>
          <cell r="D669" t="str">
            <v>Business</v>
          </cell>
          <cell r="E669">
            <v>396990</v>
          </cell>
          <cell r="F669" t="str">
            <v>Less than 10000</v>
          </cell>
          <cell r="G669" t="str">
            <v>1-4 Years</v>
          </cell>
          <cell r="I669" t="str">
            <v>Female</v>
          </cell>
          <cell r="N669" t="str">
            <v>Own</v>
          </cell>
          <cell r="P669" t="str">
            <v>Skilled</v>
          </cell>
          <cell r="S669" t="str">
            <v>Yes</v>
          </cell>
        </row>
        <row r="670">
          <cell r="C670" t="str">
            <v>Critical/Other Existing Credit</v>
          </cell>
          <cell r="D670" t="str">
            <v>New Car</v>
          </cell>
          <cell r="E670">
            <v>532730</v>
          </cell>
          <cell r="F670" t="str">
            <v>Less than 10000</v>
          </cell>
          <cell r="G670" t="str">
            <v>7 Years</v>
          </cell>
          <cell r="I670" t="str">
            <v>Male</v>
          </cell>
          <cell r="N670" t="str">
            <v>Rent</v>
          </cell>
          <cell r="P670" t="str">
            <v>Skilled</v>
          </cell>
          <cell r="S670" t="str">
            <v>Yes</v>
          </cell>
        </row>
        <row r="671">
          <cell r="C671" t="str">
            <v>Critical/Other Existing Credit</v>
          </cell>
          <cell r="D671" t="str">
            <v>Radio/Tv</v>
          </cell>
          <cell r="E671">
            <v>331870</v>
          </cell>
          <cell r="F671" t="str">
            <v>Less than 10000</v>
          </cell>
          <cell r="G671" t="str">
            <v>7 Years</v>
          </cell>
          <cell r="I671" t="str">
            <v>Male</v>
          </cell>
          <cell r="N671" t="str">
            <v>Own</v>
          </cell>
          <cell r="P671" t="str">
            <v>Skilled</v>
          </cell>
          <cell r="S671" t="str">
            <v>Yes</v>
          </cell>
        </row>
        <row r="672">
          <cell r="C672" t="str">
            <v>Critical/Other Existing Credit</v>
          </cell>
          <cell r="D672" t="str">
            <v>Business</v>
          </cell>
          <cell r="E672">
            <v>455290</v>
          </cell>
          <cell r="F672" t="str">
            <v>10000 - 49999</v>
          </cell>
          <cell r="G672" t="str">
            <v>1-4 Years</v>
          </cell>
          <cell r="I672" t="str">
            <v>Male</v>
          </cell>
          <cell r="N672" t="str">
            <v>Own</v>
          </cell>
          <cell r="P672" t="str">
            <v>Unskilled Resident</v>
          </cell>
          <cell r="S672" t="str">
            <v>Yes</v>
          </cell>
        </row>
        <row r="673">
          <cell r="C673" t="str">
            <v>Existing Paid</v>
          </cell>
          <cell r="D673" t="str">
            <v>Business</v>
          </cell>
          <cell r="E673">
            <v>631620</v>
          </cell>
          <cell r="F673" t="str">
            <v>10000 - 49999</v>
          </cell>
          <cell r="G673" t="str">
            <v>4-6 Years</v>
          </cell>
          <cell r="I673" t="str">
            <v>Male</v>
          </cell>
          <cell r="N673" t="str">
            <v>Own</v>
          </cell>
          <cell r="P673" t="str">
            <v>Skilled</v>
          </cell>
          <cell r="S673" t="str">
            <v>Yes</v>
          </cell>
        </row>
        <row r="674">
          <cell r="C674" t="str">
            <v>Existing Paid</v>
          </cell>
          <cell r="D674" t="str">
            <v>New Car</v>
          </cell>
          <cell r="E674">
            <v>1140260</v>
          </cell>
          <cell r="F674" t="str">
            <v>Less than 10000</v>
          </cell>
          <cell r="G674" t="str">
            <v>7 Years</v>
          </cell>
          <cell r="I674" t="str">
            <v>Male</v>
          </cell>
          <cell r="N674" t="str">
            <v>Own</v>
          </cell>
          <cell r="P674" t="str">
            <v>High Qualif/Self Emp/Mgmt</v>
          </cell>
          <cell r="S674" t="str">
            <v>Yes</v>
          </cell>
        </row>
        <row r="675">
          <cell r="C675" t="str">
            <v>Critical/Other Existing Credit</v>
          </cell>
          <cell r="D675" t="str">
            <v>New Car</v>
          </cell>
          <cell r="E675">
            <v>228800</v>
          </cell>
          <cell r="F675" t="str">
            <v>50000 - 99999</v>
          </cell>
          <cell r="G675" t="str">
            <v>1-4 Years</v>
          </cell>
          <cell r="I675" t="str">
            <v>Male</v>
          </cell>
          <cell r="N675" t="str">
            <v>Own</v>
          </cell>
          <cell r="P675" t="str">
            <v>Skilled</v>
          </cell>
          <cell r="S675" t="str">
            <v>Yes</v>
          </cell>
        </row>
        <row r="676">
          <cell r="C676" t="str">
            <v>Delayed Previously</v>
          </cell>
          <cell r="D676" t="str">
            <v>Business</v>
          </cell>
          <cell r="E676">
            <v>283800</v>
          </cell>
          <cell r="F676" t="str">
            <v>50000 - 99999</v>
          </cell>
          <cell r="G676" t="str">
            <v>Below 1Years</v>
          </cell>
          <cell r="I676" t="str">
            <v>Male</v>
          </cell>
          <cell r="N676" t="str">
            <v>Own</v>
          </cell>
          <cell r="P676" t="str">
            <v>Unskilled Resident</v>
          </cell>
          <cell r="S676" t="str">
            <v>Yes</v>
          </cell>
        </row>
        <row r="677">
          <cell r="C677" t="str">
            <v>Critical/Other Existing Credit</v>
          </cell>
          <cell r="D677" t="str">
            <v>Radio/Tv</v>
          </cell>
          <cell r="E677">
            <v>498300</v>
          </cell>
          <cell r="F677" t="str">
            <v>Less than 10000</v>
          </cell>
          <cell r="G677" t="str">
            <v>4-6 Years</v>
          </cell>
          <cell r="I677" t="str">
            <v>Female</v>
          </cell>
          <cell r="N677" t="str">
            <v>Rent</v>
          </cell>
          <cell r="P677" t="str">
            <v>High Qualif/Self Emp/Mgmt</v>
          </cell>
          <cell r="S677" t="str">
            <v>Yes</v>
          </cell>
        </row>
        <row r="678">
          <cell r="C678" t="str">
            <v>Critical/Other Existing Credit</v>
          </cell>
          <cell r="D678" t="str">
            <v>Furniture/Equipment</v>
          </cell>
          <cell r="E678">
            <v>566500</v>
          </cell>
          <cell r="F678" t="str">
            <v>Less than 10000</v>
          </cell>
          <cell r="G678" t="str">
            <v>7 Years</v>
          </cell>
          <cell r="I678" t="str">
            <v>Male</v>
          </cell>
          <cell r="N678" t="str">
            <v>Own</v>
          </cell>
          <cell r="P678" t="str">
            <v>Skilled</v>
          </cell>
          <cell r="S678" t="str">
            <v>Yes</v>
          </cell>
        </row>
        <row r="679">
          <cell r="C679" t="str">
            <v>Existing Paid</v>
          </cell>
          <cell r="D679" t="str">
            <v>Radio/Tv</v>
          </cell>
          <cell r="E679">
            <v>615450</v>
          </cell>
          <cell r="F679" t="str">
            <v>10000 - 49999</v>
          </cell>
          <cell r="G679" t="str">
            <v>1-4 Years</v>
          </cell>
          <cell r="I679" t="str">
            <v>Male</v>
          </cell>
          <cell r="N679" t="str">
            <v>Own</v>
          </cell>
          <cell r="P679" t="str">
            <v>Skilled</v>
          </cell>
          <cell r="S679" t="str">
            <v>Yes</v>
          </cell>
        </row>
        <row r="680">
          <cell r="C680" t="str">
            <v>Existing Paid</v>
          </cell>
          <cell r="D680" t="str">
            <v>Radio/Tv</v>
          </cell>
          <cell r="E680">
            <v>262240</v>
          </cell>
          <cell r="F680" t="str">
            <v>Less than 10000</v>
          </cell>
          <cell r="G680" t="str">
            <v>7 Years</v>
          </cell>
          <cell r="I680" t="str">
            <v>Male</v>
          </cell>
          <cell r="N680" t="str">
            <v>Rent</v>
          </cell>
          <cell r="P680" t="str">
            <v>Unskilled Resident</v>
          </cell>
          <cell r="S680" t="str">
            <v>Yes</v>
          </cell>
        </row>
        <row r="681">
          <cell r="C681" t="str">
            <v>Existing Paid</v>
          </cell>
          <cell r="D681" t="str">
            <v>Radio/Tv</v>
          </cell>
          <cell r="E681">
            <v>159830</v>
          </cell>
          <cell r="F681" t="str">
            <v>Less than 10000</v>
          </cell>
          <cell r="G681" t="str">
            <v>Below 1Years</v>
          </cell>
          <cell r="I681" t="str">
            <v>Female</v>
          </cell>
          <cell r="N681" t="str">
            <v>Own</v>
          </cell>
          <cell r="P681" t="str">
            <v>Skilled</v>
          </cell>
          <cell r="S681" t="str">
            <v>Yes</v>
          </cell>
        </row>
        <row r="682">
          <cell r="C682" t="str">
            <v>Existing Paid</v>
          </cell>
          <cell r="D682" t="str">
            <v>Education</v>
          </cell>
          <cell r="E682">
            <v>169180</v>
          </cell>
          <cell r="F682" t="str">
            <v>Less than 10000</v>
          </cell>
          <cell r="G682" t="str">
            <v>Below 1Years</v>
          </cell>
          <cell r="I682" t="str">
            <v>Female</v>
          </cell>
          <cell r="N682" t="str">
            <v>Own</v>
          </cell>
          <cell r="P682" t="str">
            <v>Skilled</v>
          </cell>
          <cell r="S682" t="str">
            <v>Yes</v>
          </cell>
        </row>
        <row r="683">
          <cell r="C683" t="str">
            <v>Existing Paid</v>
          </cell>
          <cell r="D683" t="str">
            <v>Radio/Tv</v>
          </cell>
          <cell r="E683">
            <v>250690</v>
          </cell>
          <cell r="F683" t="str">
            <v>No Savings</v>
          </cell>
          <cell r="G683" t="str">
            <v>1-4 Years</v>
          </cell>
          <cell r="I683" t="str">
            <v>Male</v>
          </cell>
          <cell r="N683" t="str">
            <v>For Free</v>
          </cell>
          <cell r="P683" t="str">
            <v>Skilled</v>
          </cell>
          <cell r="S683" t="str">
            <v>Yes</v>
          </cell>
        </row>
        <row r="684">
          <cell r="C684" t="str">
            <v>Delayed Previously</v>
          </cell>
          <cell r="D684" t="str">
            <v>Radio/Tv</v>
          </cell>
          <cell r="E684">
            <v>162580</v>
          </cell>
          <cell r="F684" t="str">
            <v>Less than 10000</v>
          </cell>
          <cell r="G684" t="str">
            <v>1-4 Years</v>
          </cell>
          <cell r="I684" t="str">
            <v>Male</v>
          </cell>
          <cell r="N684" t="str">
            <v>Own</v>
          </cell>
          <cell r="P684" t="str">
            <v>Skilled</v>
          </cell>
          <cell r="S684" t="str">
            <v>Yes</v>
          </cell>
        </row>
        <row r="685">
          <cell r="C685" t="str">
            <v>Critical/Other Existing Credit</v>
          </cell>
          <cell r="D685" t="str">
            <v>Radio/Tv</v>
          </cell>
          <cell r="E685">
            <v>561330</v>
          </cell>
          <cell r="F685" t="str">
            <v>Less than 10000</v>
          </cell>
          <cell r="G685" t="str">
            <v>Below 1Years</v>
          </cell>
          <cell r="I685" t="str">
            <v>Male</v>
          </cell>
          <cell r="N685" t="str">
            <v>For Free</v>
          </cell>
          <cell r="P685" t="str">
            <v>Skilled</v>
          </cell>
          <cell r="S685" t="str">
            <v>Yes</v>
          </cell>
        </row>
        <row r="686">
          <cell r="C686" t="str">
            <v>Delayed Previously</v>
          </cell>
          <cell r="D686" t="str">
            <v>Business</v>
          </cell>
          <cell r="E686">
            <v>1084270</v>
          </cell>
          <cell r="F686" t="str">
            <v>10000 - 49999</v>
          </cell>
          <cell r="G686" t="str">
            <v>4-6 Years</v>
          </cell>
          <cell r="I686" t="str">
            <v>Male</v>
          </cell>
          <cell r="N686" t="str">
            <v>Own</v>
          </cell>
          <cell r="P686" t="str">
            <v>Unskilled Resident</v>
          </cell>
          <cell r="S686" t="str">
            <v>Yes</v>
          </cell>
        </row>
        <row r="687">
          <cell r="C687" t="str">
            <v>Existing Paid</v>
          </cell>
          <cell r="D687" t="str">
            <v>New Car</v>
          </cell>
          <cell r="E687">
            <v>717970</v>
          </cell>
          <cell r="F687" t="str">
            <v>No Savings</v>
          </cell>
          <cell r="G687" t="str">
            <v>1-4 Years</v>
          </cell>
          <cell r="I687" t="str">
            <v>Male</v>
          </cell>
          <cell r="N687" t="str">
            <v>For Free</v>
          </cell>
          <cell r="P687" t="str">
            <v>Skilled</v>
          </cell>
          <cell r="S687" t="str">
            <v>Yes</v>
          </cell>
        </row>
        <row r="688">
          <cell r="C688" t="str">
            <v>Critical/Other Existing Credit</v>
          </cell>
          <cell r="D688" t="str">
            <v>Radio/Tv</v>
          </cell>
          <cell r="E688">
            <v>148170</v>
          </cell>
          <cell r="F688" t="str">
            <v>No Savings</v>
          </cell>
          <cell r="G688" t="str">
            <v>4-6 Years</v>
          </cell>
          <cell r="I688" t="str">
            <v>Male</v>
          </cell>
          <cell r="N688" t="str">
            <v>Own</v>
          </cell>
          <cell r="P688" t="str">
            <v>Skilled</v>
          </cell>
          <cell r="S688" t="str">
            <v>Yes</v>
          </cell>
        </row>
        <row r="689">
          <cell r="C689" t="str">
            <v>Delayed Previously</v>
          </cell>
          <cell r="D689" t="str">
            <v>New Car</v>
          </cell>
          <cell r="E689">
            <v>314820</v>
          </cell>
          <cell r="F689" t="str">
            <v>10000 - 49999</v>
          </cell>
          <cell r="G689" t="str">
            <v>7 Years</v>
          </cell>
          <cell r="I689" t="str">
            <v>Male</v>
          </cell>
          <cell r="N689" t="str">
            <v>For Free</v>
          </cell>
          <cell r="P689" t="str">
            <v>Skilled</v>
          </cell>
          <cell r="S689" t="str">
            <v>Yes</v>
          </cell>
        </row>
        <row r="690">
          <cell r="C690" t="str">
            <v>Existing Paid</v>
          </cell>
          <cell r="D690" t="str">
            <v>Radio/Tv</v>
          </cell>
          <cell r="E690">
            <v>302830</v>
          </cell>
          <cell r="F690" t="str">
            <v>10000 - 49999</v>
          </cell>
          <cell r="G690" t="str">
            <v>7 Years</v>
          </cell>
          <cell r="I690" t="str">
            <v>Male</v>
          </cell>
          <cell r="N690" t="str">
            <v>Own</v>
          </cell>
          <cell r="P690" t="str">
            <v>Skilled</v>
          </cell>
          <cell r="S690" t="str">
            <v>Yes</v>
          </cell>
        </row>
        <row r="691">
          <cell r="C691" t="str">
            <v>Existing Paid</v>
          </cell>
          <cell r="D691" t="str">
            <v>New Car</v>
          </cell>
          <cell r="E691">
            <v>401610</v>
          </cell>
          <cell r="F691" t="str">
            <v>1,00000 or Above</v>
          </cell>
          <cell r="G691" t="str">
            <v>1-4 Years</v>
          </cell>
          <cell r="I691" t="str">
            <v>Male</v>
          </cell>
          <cell r="N691" t="str">
            <v>Own</v>
          </cell>
          <cell r="P691" t="str">
            <v>Skilled</v>
          </cell>
          <cell r="S691" t="str">
            <v>Yes</v>
          </cell>
        </row>
        <row r="692">
          <cell r="C692" t="str">
            <v>Critical/Other Existing Credit</v>
          </cell>
          <cell r="D692" t="str">
            <v>Furniture/Equipment</v>
          </cell>
          <cell r="E692">
            <v>107250</v>
          </cell>
          <cell r="F692" t="str">
            <v>Less than 10000</v>
          </cell>
          <cell r="G692" t="str">
            <v>1-4 Years</v>
          </cell>
          <cell r="I692" t="str">
            <v>Male</v>
          </cell>
          <cell r="N692" t="str">
            <v>Own</v>
          </cell>
          <cell r="P692" t="str">
            <v>Skilled</v>
          </cell>
          <cell r="S692" t="str">
            <v>Yes</v>
          </cell>
        </row>
        <row r="693">
          <cell r="C693" t="str">
            <v>Existing Paid</v>
          </cell>
          <cell r="D693" t="str">
            <v>Repairs</v>
          </cell>
          <cell r="E693">
            <v>289410</v>
          </cell>
          <cell r="F693" t="str">
            <v>10000 - 49999</v>
          </cell>
          <cell r="G693" t="str">
            <v>1-4 Years</v>
          </cell>
          <cell r="I693" t="str">
            <v>Female</v>
          </cell>
          <cell r="N693" t="str">
            <v>Own</v>
          </cell>
          <cell r="P693" t="str">
            <v>Unskilled Resident</v>
          </cell>
          <cell r="S693" t="str">
            <v>Yes</v>
          </cell>
        </row>
        <row r="694">
          <cell r="C694" t="str">
            <v>Existing Paid</v>
          </cell>
          <cell r="D694" t="str">
            <v>Radio/Tv</v>
          </cell>
          <cell r="E694">
            <v>318560</v>
          </cell>
          <cell r="F694" t="str">
            <v>10000 - 49999</v>
          </cell>
          <cell r="G694" t="str">
            <v>Below 1Years</v>
          </cell>
          <cell r="I694" t="str">
            <v>Male</v>
          </cell>
          <cell r="N694" t="str">
            <v>Own</v>
          </cell>
          <cell r="P694" t="str">
            <v>Skilled</v>
          </cell>
          <cell r="S694" t="str">
            <v>Yes</v>
          </cell>
        </row>
        <row r="695">
          <cell r="C695" t="str">
            <v>Critical/Other Existing Credit</v>
          </cell>
          <cell r="D695" t="str">
            <v>New Car</v>
          </cell>
          <cell r="E695">
            <v>518760</v>
          </cell>
          <cell r="F695" t="str">
            <v>No Savings</v>
          </cell>
          <cell r="G695" t="str">
            <v>Below 1Years</v>
          </cell>
          <cell r="I695" t="str">
            <v>Male</v>
          </cell>
          <cell r="N695" t="str">
            <v>Own</v>
          </cell>
          <cell r="P695" t="str">
            <v>Unskilled Resident</v>
          </cell>
          <cell r="S695" t="str">
            <v>Yes</v>
          </cell>
        </row>
        <row r="696">
          <cell r="C696" t="str">
            <v>Existing Paid</v>
          </cell>
          <cell r="D696" t="str">
            <v>Radio/Tv</v>
          </cell>
          <cell r="E696">
            <v>251240</v>
          </cell>
          <cell r="F696" t="str">
            <v>Less than 10000</v>
          </cell>
          <cell r="G696" t="str">
            <v>4-6 Years</v>
          </cell>
          <cell r="I696" t="str">
            <v>Male</v>
          </cell>
          <cell r="N696" t="str">
            <v>Own</v>
          </cell>
          <cell r="P696" t="str">
            <v>Skilled</v>
          </cell>
          <cell r="S696" t="str">
            <v>Yes</v>
          </cell>
        </row>
        <row r="697">
          <cell r="C697" t="str">
            <v>Existing Paid</v>
          </cell>
          <cell r="D697" t="str">
            <v>Used Car</v>
          </cell>
          <cell r="E697">
            <v>135960</v>
          </cell>
          <cell r="F697" t="str">
            <v>50000 - 99999</v>
          </cell>
          <cell r="G697" t="str">
            <v>1-4 Years</v>
          </cell>
          <cell r="I697" t="str">
            <v>Male</v>
          </cell>
          <cell r="N697" t="str">
            <v>Rent</v>
          </cell>
          <cell r="P697" t="str">
            <v>Skilled</v>
          </cell>
          <cell r="S697" t="str">
            <v>Yes</v>
          </cell>
        </row>
        <row r="698">
          <cell r="C698" t="str">
            <v>Existing Paid</v>
          </cell>
          <cell r="D698" t="str">
            <v>Radio/Tv</v>
          </cell>
          <cell r="E698">
            <v>121330</v>
          </cell>
          <cell r="F698" t="str">
            <v>Less than 10000</v>
          </cell>
          <cell r="G698" t="str">
            <v>4-6 Years</v>
          </cell>
          <cell r="I698" t="str">
            <v>Male</v>
          </cell>
          <cell r="N698" t="str">
            <v>Own</v>
          </cell>
          <cell r="P698" t="str">
            <v>Skilled</v>
          </cell>
          <cell r="S698" t="str">
            <v>No</v>
          </cell>
        </row>
        <row r="699">
          <cell r="C699" t="str">
            <v>Critical/Other Existing Credit</v>
          </cell>
          <cell r="D699" t="str">
            <v>New Car</v>
          </cell>
          <cell r="E699">
            <v>101860</v>
          </cell>
          <cell r="F699" t="str">
            <v>Less than 10000</v>
          </cell>
          <cell r="G699" t="str">
            <v>Unemployed</v>
          </cell>
          <cell r="I699" t="str">
            <v>Female</v>
          </cell>
          <cell r="N699" t="str">
            <v>Own</v>
          </cell>
          <cell r="P699" t="str">
            <v>Unemp/Unskilled Non Res</v>
          </cell>
          <cell r="S699" t="str">
            <v>Yes</v>
          </cell>
        </row>
        <row r="700">
          <cell r="C700" t="str">
            <v>Critical/Other Existing Credit</v>
          </cell>
          <cell r="D700" t="str">
            <v>Radio/Tv</v>
          </cell>
          <cell r="E700">
            <v>198000</v>
          </cell>
          <cell r="F700" t="str">
            <v>Less than 10000</v>
          </cell>
          <cell r="G700" t="str">
            <v>1-4 Years</v>
          </cell>
          <cell r="I700" t="str">
            <v>Male</v>
          </cell>
          <cell r="N700" t="str">
            <v>Own</v>
          </cell>
          <cell r="P700" t="str">
            <v>Skilled</v>
          </cell>
          <cell r="S700" t="str">
            <v>Yes</v>
          </cell>
        </row>
        <row r="701">
          <cell r="C701" t="str">
            <v>Existing Paid</v>
          </cell>
          <cell r="D701" t="str">
            <v>Education</v>
          </cell>
          <cell r="E701">
            <v>209550</v>
          </cell>
          <cell r="F701" t="str">
            <v>Less than 10000</v>
          </cell>
          <cell r="G701" t="str">
            <v>7 Years</v>
          </cell>
          <cell r="I701" t="str">
            <v>Male</v>
          </cell>
          <cell r="N701" t="str">
            <v>Rent</v>
          </cell>
          <cell r="P701" t="str">
            <v>High Qualif/Self Emp/Mgmt</v>
          </cell>
          <cell r="S701" t="str">
            <v>Yes</v>
          </cell>
        </row>
        <row r="702">
          <cell r="C702" t="str">
            <v>Existing Paid</v>
          </cell>
          <cell r="D702" t="str">
            <v>Furniture/Equipment</v>
          </cell>
          <cell r="E702">
            <v>123530</v>
          </cell>
          <cell r="F702" t="str">
            <v>50000 - 99999</v>
          </cell>
          <cell r="G702" t="str">
            <v>1-4 Years</v>
          </cell>
          <cell r="I702" t="str">
            <v>Female</v>
          </cell>
          <cell r="N702" t="str">
            <v>Rent</v>
          </cell>
          <cell r="P702" t="str">
            <v>Unskilled Resident</v>
          </cell>
          <cell r="S702" t="str">
            <v>Yes</v>
          </cell>
        </row>
        <row r="703">
          <cell r="C703" t="str">
            <v>Critical/Other Existing Credit</v>
          </cell>
          <cell r="D703" t="str">
            <v>Used Car</v>
          </cell>
          <cell r="E703">
            <v>696410</v>
          </cell>
          <cell r="F703" t="str">
            <v>Less than 10000</v>
          </cell>
          <cell r="G703" t="str">
            <v>7 Years</v>
          </cell>
          <cell r="I703" t="str">
            <v>Male</v>
          </cell>
          <cell r="N703" t="str">
            <v>For Free</v>
          </cell>
          <cell r="P703" t="str">
            <v>Skilled</v>
          </cell>
          <cell r="S703" t="str">
            <v>Yes</v>
          </cell>
        </row>
        <row r="704">
          <cell r="C704" t="str">
            <v>Existing Paid</v>
          </cell>
          <cell r="D704" t="str">
            <v>Radio/Tv</v>
          </cell>
          <cell r="E704">
            <v>151470</v>
          </cell>
          <cell r="F704" t="str">
            <v>10000 - 49999</v>
          </cell>
          <cell r="G704" t="str">
            <v>7 Years</v>
          </cell>
          <cell r="I704" t="str">
            <v>Female</v>
          </cell>
          <cell r="N704" t="str">
            <v>For Free</v>
          </cell>
          <cell r="P704" t="str">
            <v>Skilled</v>
          </cell>
          <cell r="S704" t="str">
            <v>Yes</v>
          </cell>
        </row>
        <row r="705">
          <cell r="C705" t="str">
            <v>Delayed Previously</v>
          </cell>
          <cell r="D705" t="str">
            <v>Business</v>
          </cell>
          <cell r="E705">
            <v>275330</v>
          </cell>
          <cell r="F705" t="str">
            <v>10000 - 49999</v>
          </cell>
          <cell r="G705" t="str">
            <v>7 Years</v>
          </cell>
          <cell r="I705" t="str">
            <v>Male</v>
          </cell>
          <cell r="N705" t="str">
            <v>Own</v>
          </cell>
          <cell r="P705" t="str">
            <v>Skilled</v>
          </cell>
          <cell r="S705" t="str">
            <v>Yes</v>
          </cell>
        </row>
        <row r="706">
          <cell r="C706" t="str">
            <v>Existing Paid</v>
          </cell>
          <cell r="D706" t="str">
            <v>Business</v>
          </cell>
          <cell r="E706">
            <v>278080</v>
          </cell>
          <cell r="F706" t="str">
            <v>Less than 10000</v>
          </cell>
          <cell r="G706" t="str">
            <v>Below 1Years</v>
          </cell>
          <cell r="I706" t="str">
            <v>Female</v>
          </cell>
          <cell r="N706" t="str">
            <v>Own</v>
          </cell>
          <cell r="P706" t="str">
            <v>Skilled</v>
          </cell>
          <cell r="S706" t="str">
            <v>Yes</v>
          </cell>
        </row>
        <row r="707">
          <cell r="C707" t="str">
            <v>Existing Paid</v>
          </cell>
          <cell r="D707" t="str">
            <v>New Car</v>
          </cell>
          <cell r="E707">
            <v>585640</v>
          </cell>
          <cell r="F707" t="str">
            <v>50000 - 99999</v>
          </cell>
          <cell r="G707" t="str">
            <v>7 Years</v>
          </cell>
          <cell r="I707" t="str">
            <v>Female</v>
          </cell>
          <cell r="N707" t="str">
            <v>For Free</v>
          </cell>
          <cell r="P707" t="str">
            <v>Skilled</v>
          </cell>
          <cell r="S707" t="str">
            <v>Yes</v>
          </cell>
        </row>
        <row r="708">
          <cell r="C708" t="str">
            <v>Existing Paid</v>
          </cell>
          <cell r="D708" t="str">
            <v>New Car</v>
          </cell>
          <cell r="E708">
            <v>721600</v>
          </cell>
          <cell r="F708" t="str">
            <v>10000 - 49999</v>
          </cell>
          <cell r="G708" t="str">
            <v>4-6 Years</v>
          </cell>
          <cell r="I708" t="str">
            <v>Male</v>
          </cell>
          <cell r="N708" t="str">
            <v>Own</v>
          </cell>
          <cell r="P708" t="str">
            <v>Skilled</v>
          </cell>
          <cell r="S708" t="str">
            <v>Yes</v>
          </cell>
        </row>
        <row r="709">
          <cell r="C709" t="str">
            <v>No Credits/All Paid</v>
          </cell>
          <cell r="D709" t="str">
            <v>Furniture/Equipment</v>
          </cell>
          <cell r="E709">
            <v>326590</v>
          </cell>
          <cell r="F709" t="str">
            <v>Less than 10000</v>
          </cell>
          <cell r="G709" t="str">
            <v>Below 1Years</v>
          </cell>
          <cell r="I709" t="str">
            <v>Female</v>
          </cell>
          <cell r="N709" t="str">
            <v>Rent</v>
          </cell>
          <cell r="P709" t="str">
            <v>Skilled</v>
          </cell>
          <cell r="S709" t="str">
            <v>Yes</v>
          </cell>
        </row>
        <row r="710">
          <cell r="C710" t="str">
            <v>Existing Paid</v>
          </cell>
          <cell r="D710" t="str">
            <v>Radio/Tv</v>
          </cell>
          <cell r="E710">
            <v>132660</v>
          </cell>
          <cell r="F710" t="str">
            <v>Less than 10000</v>
          </cell>
          <cell r="G710" t="str">
            <v>7 Years</v>
          </cell>
          <cell r="I710" t="str">
            <v>Female</v>
          </cell>
          <cell r="N710" t="str">
            <v>Own</v>
          </cell>
          <cell r="P710" t="str">
            <v>Skilled</v>
          </cell>
          <cell r="S710" t="str">
            <v>Yes</v>
          </cell>
        </row>
        <row r="711">
          <cell r="C711" t="str">
            <v>Existing Paid</v>
          </cell>
          <cell r="D711" t="str">
            <v>Radio/Tv</v>
          </cell>
          <cell r="E711">
            <v>232980</v>
          </cell>
          <cell r="F711" t="str">
            <v>Less than 10000</v>
          </cell>
          <cell r="G711" t="str">
            <v>1-4 Years</v>
          </cell>
          <cell r="I711" t="str">
            <v>Male</v>
          </cell>
          <cell r="N711" t="str">
            <v>Own</v>
          </cell>
          <cell r="P711" t="str">
            <v>Unskilled Resident</v>
          </cell>
          <cell r="S711" t="str">
            <v>Yes</v>
          </cell>
        </row>
        <row r="712">
          <cell r="C712" t="str">
            <v>Critical/Other Existing Credit</v>
          </cell>
          <cell r="D712" t="str">
            <v>Radio/Tv</v>
          </cell>
          <cell r="E712">
            <v>69190</v>
          </cell>
          <cell r="F712" t="str">
            <v>50000 - 99999</v>
          </cell>
          <cell r="G712" t="str">
            <v>7 Years</v>
          </cell>
          <cell r="I712" t="str">
            <v>Male</v>
          </cell>
          <cell r="N712" t="str">
            <v>Own</v>
          </cell>
          <cell r="P712" t="str">
            <v>High Qualif/Self Emp/Mgmt</v>
          </cell>
          <cell r="S712" t="str">
            <v>Yes</v>
          </cell>
        </row>
        <row r="713">
          <cell r="C713" t="str">
            <v>All Paid</v>
          </cell>
          <cell r="D713" t="str">
            <v>Education</v>
          </cell>
          <cell r="E713">
            <v>131780</v>
          </cell>
          <cell r="F713" t="str">
            <v>Less than 10000</v>
          </cell>
          <cell r="G713" t="str">
            <v>7 Years</v>
          </cell>
          <cell r="I713" t="str">
            <v>Female</v>
          </cell>
          <cell r="N713" t="str">
            <v>For Free</v>
          </cell>
          <cell r="P713" t="str">
            <v>Skilled</v>
          </cell>
          <cell r="S713" t="str">
            <v>Yes</v>
          </cell>
        </row>
        <row r="714">
          <cell r="C714" t="str">
            <v>Existing Paid</v>
          </cell>
          <cell r="D714" t="str">
            <v>Used Car</v>
          </cell>
          <cell r="E714">
            <v>272360</v>
          </cell>
          <cell r="F714" t="str">
            <v>No Savings</v>
          </cell>
          <cell r="G714" t="str">
            <v>7 Years</v>
          </cell>
          <cell r="I714" t="str">
            <v>Male</v>
          </cell>
          <cell r="N714" t="str">
            <v>Own</v>
          </cell>
          <cell r="P714" t="str">
            <v>High Qualif/Self Emp/Mgmt</v>
          </cell>
          <cell r="S714" t="str">
            <v>Yes</v>
          </cell>
        </row>
        <row r="715">
          <cell r="C715" t="str">
            <v>Critical/Other Existing Credit</v>
          </cell>
          <cell r="D715" t="str">
            <v>Radio/Tv</v>
          </cell>
          <cell r="E715">
            <v>125180</v>
          </cell>
          <cell r="F715" t="str">
            <v>Less than 10000</v>
          </cell>
          <cell r="G715" t="str">
            <v>1-4 Years</v>
          </cell>
          <cell r="I715" t="str">
            <v>Male</v>
          </cell>
          <cell r="N715" t="str">
            <v>Own</v>
          </cell>
          <cell r="P715" t="str">
            <v>Unskilled Resident</v>
          </cell>
          <cell r="S715" t="str">
            <v>Yes</v>
          </cell>
        </row>
        <row r="716">
          <cell r="C716" t="str">
            <v>Existing Paid</v>
          </cell>
          <cell r="D716" t="str">
            <v>New Car</v>
          </cell>
          <cell r="E716">
            <v>1542970</v>
          </cell>
          <cell r="F716" t="str">
            <v>Less than 10000</v>
          </cell>
          <cell r="G716" t="str">
            <v>4-6 Years</v>
          </cell>
          <cell r="I716" t="str">
            <v>Male</v>
          </cell>
          <cell r="N716" t="str">
            <v>Own</v>
          </cell>
          <cell r="P716" t="str">
            <v>High Qualif/Self Emp/Mgmt</v>
          </cell>
          <cell r="S716" t="str">
            <v>Yes</v>
          </cell>
        </row>
        <row r="717">
          <cell r="C717" t="str">
            <v>Critical/Other Existing Credit</v>
          </cell>
          <cell r="D717" t="str">
            <v>Used Car</v>
          </cell>
          <cell r="E717">
            <v>835560</v>
          </cell>
          <cell r="F717" t="str">
            <v>No Savings</v>
          </cell>
          <cell r="G717" t="str">
            <v>7 Years</v>
          </cell>
          <cell r="I717" t="str">
            <v>Male</v>
          </cell>
          <cell r="N717" t="str">
            <v>Own</v>
          </cell>
          <cell r="P717" t="str">
            <v>Skilled</v>
          </cell>
          <cell r="S717" t="str">
            <v>Yes</v>
          </cell>
        </row>
        <row r="718">
          <cell r="C718" t="str">
            <v>Critical/Other Existing Credit</v>
          </cell>
          <cell r="D718" t="str">
            <v>Radio/Tv</v>
          </cell>
          <cell r="E718">
            <v>338470</v>
          </cell>
          <cell r="F718" t="str">
            <v>No Savings</v>
          </cell>
          <cell r="G718" t="str">
            <v>7 Years</v>
          </cell>
          <cell r="I718" t="str">
            <v>Male</v>
          </cell>
          <cell r="N718" t="str">
            <v>Own</v>
          </cell>
          <cell r="P718" t="str">
            <v>Skilled</v>
          </cell>
          <cell r="S718" t="str">
            <v>Yes</v>
          </cell>
        </row>
        <row r="719">
          <cell r="C719" t="str">
            <v>Existing Paid</v>
          </cell>
          <cell r="D719" t="str">
            <v>Radio/Tv</v>
          </cell>
          <cell r="E719">
            <v>165550</v>
          </cell>
          <cell r="F719" t="str">
            <v>Less than 10000</v>
          </cell>
          <cell r="G719" t="str">
            <v>1-4 Years</v>
          </cell>
          <cell r="I719" t="str">
            <v>Male</v>
          </cell>
          <cell r="N719" t="str">
            <v>For Free</v>
          </cell>
          <cell r="P719" t="str">
            <v>High Qualif/Self Emp/Mgmt</v>
          </cell>
          <cell r="S719" t="str">
            <v>Yes</v>
          </cell>
        </row>
        <row r="720">
          <cell r="C720" t="str">
            <v>Critical/Other Existing Credit</v>
          </cell>
          <cell r="D720" t="str">
            <v>Radio/Tv</v>
          </cell>
          <cell r="E720">
            <v>346280</v>
          </cell>
          <cell r="F720" t="str">
            <v>No Savings</v>
          </cell>
          <cell r="G720" t="str">
            <v>1-4 Years</v>
          </cell>
          <cell r="I720" t="str">
            <v>Male</v>
          </cell>
          <cell r="N720" t="str">
            <v>Own</v>
          </cell>
          <cell r="P720" t="str">
            <v>Skilled</v>
          </cell>
          <cell r="S720" t="str">
            <v>Yes</v>
          </cell>
        </row>
        <row r="721">
          <cell r="C721" t="str">
            <v>No Credits/All Paid</v>
          </cell>
          <cell r="D721" t="str">
            <v>Used Car</v>
          </cell>
          <cell r="E721">
            <v>676280</v>
          </cell>
          <cell r="F721" t="str">
            <v>10000 - 49999</v>
          </cell>
          <cell r="G721" t="str">
            <v>7 Years</v>
          </cell>
          <cell r="I721" t="str">
            <v>Male</v>
          </cell>
          <cell r="N721" t="str">
            <v>Own</v>
          </cell>
          <cell r="P721" t="str">
            <v>Skilled</v>
          </cell>
          <cell r="S721" t="str">
            <v>Yes</v>
          </cell>
        </row>
        <row r="722">
          <cell r="C722" t="str">
            <v>No Credits/All Paid</v>
          </cell>
          <cell r="D722" t="str">
            <v>Radio/Tv</v>
          </cell>
          <cell r="E722">
            <v>147070</v>
          </cell>
          <cell r="F722" t="str">
            <v>Less than 10000</v>
          </cell>
          <cell r="G722" t="str">
            <v>Below 1Years</v>
          </cell>
          <cell r="I722" t="str">
            <v>Male</v>
          </cell>
          <cell r="N722" t="str">
            <v>Own</v>
          </cell>
          <cell r="P722" t="str">
            <v>High Qualif/Self Emp/Mgmt</v>
          </cell>
          <cell r="S722" t="str">
            <v>Yes</v>
          </cell>
        </row>
        <row r="723">
          <cell r="C723" t="str">
            <v>All Paid</v>
          </cell>
          <cell r="D723" t="str">
            <v>Education</v>
          </cell>
          <cell r="E723">
            <v>47630</v>
          </cell>
          <cell r="F723" t="str">
            <v>1,00000 or Above</v>
          </cell>
          <cell r="G723" t="str">
            <v>Below 1Years</v>
          </cell>
          <cell r="I723" t="str">
            <v>Female</v>
          </cell>
          <cell r="N723" t="str">
            <v>Rent</v>
          </cell>
          <cell r="P723" t="str">
            <v>Skilled</v>
          </cell>
          <cell r="S723" t="str">
            <v>Yes</v>
          </cell>
        </row>
        <row r="724">
          <cell r="C724" t="str">
            <v>Existing Paid</v>
          </cell>
          <cell r="D724" t="str">
            <v>New Car</v>
          </cell>
          <cell r="E724">
            <v>135080</v>
          </cell>
          <cell r="F724" t="str">
            <v>Less than 10000</v>
          </cell>
          <cell r="G724" t="str">
            <v>1-4 Years</v>
          </cell>
          <cell r="I724" t="str">
            <v>Female</v>
          </cell>
          <cell r="N724" t="str">
            <v>Own</v>
          </cell>
          <cell r="P724" t="str">
            <v>Unskilled Resident</v>
          </cell>
          <cell r="S724" t="str">
            <v>Yes</v>
          </cell>
        </row>
        <row r="725">
          <cell r="C725" t="str">
            <v>Existing Paid</v>
          </cell>
          <cell r="D725" t="str">
            <v>Radio/Tv</v>
          </cell>
          <cell r="E725">
            <v>86900</v>
          </cell>
          <cell r="F725" t="str">
            <v>50000 - 99999</v>
          </cell>
          <cell r="G725" t="str">
            <v>1-4 Years</v>
          </cell>
          <cell r="I725" t="str">
            <v>Female</v>
          </cell>
          <cell r="N725" t="str">
            <v>Own</v>
          </cell>
          <cell r="P725" t="str">
            <v>Unskilled Resident</v>
          </cell>
          <cell r="S725" t="str">
            <v>Yes</v>
          </cell>
        </row>
        <row r="726">
          <cell r="C726" t="str">
            <v>Existing Paid</v>
          </cell>
          <cell r="D726" t="str">
            <v>New Car</v>
          </cell>
          <cell r="E726">
            <v>282700</v>
          </cell>
          <cell r="F726" t="str">
            <v>Less than 10000</v>
          </cell>
          <cell r="G726" t="str">
            <v>1-4 Years</v>
          </cell>
          <cell r="I726" t="str">
            <v>Female</v>
          </cell>
          <cell r="N726" t="str">
            <v>Rent</v>
          </cell>
          <cell r="P726" t="str">
            <v>Skilled</v>
          </cell>
          <cell r="S726" t="str">
            <v>Yes</v>
          </cell>
        </row>
        <row r="727">
          <cell r="C727" t="str">
            <v>Critical/Other Existing Credit</v>
          </cell>
          <cell r="D727" t="str">
            <v>New Car</v>
          </cell>
          <cell r="E727">
            <v>27500</v>
          </cell>
          <cell r="F727" t="str">
            <v>1,00000 or Above</v>
          </cell>
          <cell r="G727" t="str">
            <v>1-4 Years</v>
          </cell>
          <cell r="I727" t="str">
            <v>Female</v>
          </cell>
          <cell r="N727" t="str">
            <v>Own</v>
          </cell>
          <cell r="P727" t="str">
            <v>Unskilled Resident</v>
          </cell>
          <cell r="S727" t="str">
            <v>Yes</v>
          </cell>
        </row>
        <row r="728">
          <cell r="C728" t="str">
            <v>Critical/Other Existing Credit</v>
          </cell>
          <cell r="D728" t="str">
            <v>Radio/Tv</v>
          </cell>
          <cell r="E728">
            <v>144760</v>
          </cell>
          <cell r="F728" t="str">
            <v>50000 - 99999</v>
          </cell>
          <cell r="G728" t="str">
            <v>1-4 Years</v>
          </cell>
          <cell r="I728" t="str">
            <v>Male</v>
          </cell>
          <cell r="N728" t="str">
            <v>Own</v>
          </cell>
          <cell r="P728" t="str">
            <v>Unskilled Resident</v>
          </cell>
          <cell r="S728" t="str">
            <v>Yes</v>
          </cell>
        </row>
        <row r="729">
          <cell r="C729" t="str">
            <v>Existing Paid</v>
          </cell>
          <cell r="D729" t="str">
            <v>Radio/Tv</v>
          </cell>
          <cell r="E729">
            <v>207020</v>
          </cell>
          <cell r="F729" t="str">
            <v>Less than 10000</v>
          </cell>
          <cell r="G729" t="str">
            <v>1-4 Years</v>
          </cell>
          <cell r="I729" t="str">
            <v>Female</v>
          </cell>
          <cell r="N729" t="str">
            <v>Rent</v>
          </cell>
          <cell r="P729" t="str">
            <v>Skilled</v>
          </cell>
          <cell r="S729" t="str">
            <v>Yes</v>
          </cell>
        </row>
        <row r="730">
          <cell r="C730" t="str">
            <v>All Paid</v>
          </cell>
          <cell r="D730" t="str">
            <v>Business</v>
          </cell>
          <cell r="E730">
            <v>705760</v>
          </cell>
          <cell r="F730" t="str">
            <v>Less than 10000</v>
          </cell>
          <cell r="G730" t="str">
            <v>7 Years</v>
          </cell>
          <cell r="I730" t="str">
            <v>Female</v>
          </cell>
          <cell r="N730" t="str">
            <v>Rent</v>
          </cell>
          <cell r="P730" t="str">
            <v>Skilled</v>
          </cell>
          <cell r="S730" t="str">
            <v>Yes</v>
          </cell>
        </row>
        <row r="731">
          <cell r="C731" t="str">
            <v>Critical/Other Existing Credit</v>
          </cell>
          <cell r="D731" t="str">
            <v>Business</v>
          </cell>
          <cell r="E731">
            <v>140250</v>
          </cell>
          <cell r="F731" t="str">
            <v>1,00000 or Above</v>
          </cell>
          <cell r="G731" t="str">
            <v>1-4 Years</v>
          </cell>
          <cell r="I731" t="str">
            <v>Male</v>
          </cell>
          <cell r="N731" t="str">
            <v>Own</v>
          </cell>
          <cell r="P731" t="str">
            <v>Skilled</v>
          </cell>
          <cell r="S731" t="str">
            <v>Yes</v>
          </cell>
        </row>
        <row r="732">
          <cell r="C732" t="str">
            <v>Delayed Previously</v>
          </cell>
          <cell r="D732" t="str">
            <v>Radio/Tv</v>
          </cell>
          <cell r="E732">
            <v>704330</v>
          </cell>
          <cell r="F732" t="str">
            <v>Less than 10000</v>
          </cell>
          <cell r="G732" t="str">
            <v>Below 1Years</v>
          </cell>
          <cell r="I732" t="str">
            <v>Male</v>
          </cell>
          <cell r="N732" t="str">
            <v>Own</v>
          </cell>
          <cell r="P732" t="str">
            <v>Skilled</v>
          </cell>
          <cell r="S732" t="str">
            <v>Yes</v>
          </cell>
        </row>
        <row r="733">
          <cell r="C733" t="str">
            <v>Existing Paid</v>
          </cell>
          <cell r="D733" t="str">
            <v>Radio/Tv</v>
          </cell>
          <cell r="E733">
            <v>218570</v>
          </cell>
          <cell r="F733" t="str">
            <v>Less than 10000</v>
          </cell>
          <cell r="G733" t="str">
            <v>1-4 Years</v>
          </cell>
          <cell r="I733" t="str">
            <v>Male</v>
          </cell>
          <cell r="N733" t="str">
            <v>Rent</v>
          </cell>
          <cell r="P733" t="str">
            <v>Unskilled Resident</v>
          </cell>
          <cell r="S733" t="str">
            <v>Yes</v>
          </cell>
        </row>
        <row r="734">
          <cell r="C734" t="str">
            <v>Existing Paid</v>
          </cell>
          <cell r="D734" t="str">
            <v>Radio/Tv</v>
          </cell>
          <cell r="E734">
            <v>83600</v>
          </cell>
          <cell r="F734" t="str">
            <v>Less than 10000</v>
          </cell>
          <cell r="G734" t="str">
            <v>4-6 Years</v>
          </cell>
          <cell r="I734" t="str">
            <v>Female</v>
          </cell>
          <cell r="N734" t="str">
            <v>Own</v>
          </cell>
          <cell r="P734" t="str">
            <v>Unskilled Resident</v>
          </cell>
          <cell r="S734" t="str">
            <v>Yes</v>
          </cell>
        </row>
        <row r="735">
          <cell r="C735" t="str">
            <v>Existing Paid</v>
          </cell>
          <cell r="D735" t="str">
            <v>Used Car</v>
          </cell>
          <cell r="E735">
            <v>286330</v>
          </cell>
          <cell r="F735" t="str">
            <v>1,00000 or Above</v>
          </cell>
          <cell r="G735" t="str">
            <v>1-4 Years</v>
          </cell>
          <cell r="I735" t="str">
            <v>Female</v>
          </cell>
          <cell r="N735" t="str">
            <v>Rent</v>
          </cell>
          <cell r="P735" t="str">
            <v>Skilled</v>
          </cell>
          <cell r="S735" t="str">
            <v>Yes</v>
          </cell>
        </row>
        <row r="736">
          <cell r="C736" t="str">
            <v>Critical/Other Existing Credit</v>
          </cell>
          <cell r="D736" t="str">
            <v>New Car</v>
          </cell>
          <cell r="E736">
            <v>371800</v>
          </cell>
          <cell r="F736" t="str">
            <v>Less than 10000</v>
          </cell>
          <cell r="G736" t="str">
            <v>4-6 Years</v>
          </cell>
          <cell r="I736" t="str">
            <v>Female</v>
          </cell>
          <cell r="N736" t="str">
            <v>Own</v>
          </cell>
          <cell r="P736" t="str">
            <v>Skilled</v>
          </cell>
          <cell r="S736" t="str">
            <v>Yes</v>
          </cell>
        </row>
        <row r="737">
          <cell r="C737" t="str">
            <v>All Paid</v>
          </cell>
          <cell r="D737" t="str">
            <v>Domestic Appliance</v>
          </cell>
          <cell r="E737">
            <v>438900</v>
          </cell>
          <cell r="F737" t="str">
            <v>No Savings</v>
          </cell>
          <cell r="G737" t="str">
            <v>Below 1Years</v>
          </cell>
          <cell r="I737" t="str">
            <v>Female</v>
          </cell>
          <cell r="N737" t="str">
            <v>Own</v>
          </cell>
          <cell r="P737" t="str">
            <v>Unemp/Unskilled Non Res</v>
          </cell>
          <cell r="S737" t="str">
            <v>Yes</v>
          </cell>
        </row>
        <row r="738">
          <cell r="C738" t="str">
            <v>Existing Paid</v>
          </cell>
          <cell r="D738" t="str">
            <v>Used Car</v>
          </cell>
          <cell r="E738">
            <v>1271600</v>
          </cell>
          <cell r="F738" t="str">
            <v>Less than 10000</v>
          </cell>
          <cell r="G738" t="str">
            <v>1-4 Years</v>
          </cell>
          <cell r="I738" t="str">
            <v>Female</v>
          </cell>
          <cell r="N738" t="str">
            <v>Rent</v>
          </cell>
          <cell r="P738" t="str">
            <v>High Qualif/Self Emp/Mgmt</v>
          </cell>
          <cell r="S738" t="str">
            <v>Yes</v>
          </cell>
        </row>
        <row r="739">
          <cell r="C739" t="str">
            <v>Existing Paid</v>
          </cell>
          <cell r="D739" t="str">
            <v>New Car</v>
          </cell>
          <cell r="E739">
            <v>481800</v>
          </cell>
          <cell r="F739" t="str">
            <v>10000 - 49999</v>
          </cell>
          <cell r="G739" t="str">
            <v>1-4 Years</v>
          </cell>
          <cell r="I739" t="str">
            <v>Male</v>
          </cell>
          <cell r="N739" t="str">
            <v>Own</v>
          </cell>
          <cell r="P739" t="str">
            <v>Unskilled Resident</v>
          </cell>
          <cell r="S739" t="str">
            <v>Yes</v>
          </cell>
        </row>
        <row r="740">
          <cell r="C740" t="str">
            <v>Critical/Other Existing Credit</v>
          </cell>
          <cell r="D740" t="str">
            <v>New Car</v>
          </cell>
          <cell r="E740">
            <v>743710</v>
          </cell>
          <cell r="F740" t="str">
            <v>Less than 10000</v>
          </cell>
          <cell r="G740" t="str">
            <v>4-6 Years</v>
          </cell>
          <cell r="I740" t="str">
            <v>Male</v>
          </cell>
          <cell r="N740" t="str">
            <v>Own</v>
          </cell>
          <cell r="P740" t="str">
            <v>High Qualif/Self Emp/Mgmt</v>
          </cell>
          <cell r="S740" t="str">
            <v>Yes</v>
          </cell>
        </row>
        <row r="741">
          <cell r="C741" t="str">
            <v>No Credits/All Paid</v>
          </cell>
          <cell r="D741" t="str">
            <v>Business</v>
          </cell>
          <cell r="E741">
            <v>470800</v>
          </cell>
          <cell r="F741" t="str">
            <v>10000 - 49999</v>
          </cell>
          <cell r="G741" t="str">
            <v>1-4 Years</v>
          </cell>
          <cell r="I741" t="str">
            <v>Female</v>
          </cell>
          <cell r="N741" t="str">
            <v>Rent</v>
          </cell>
          <cell r="P741" t="str">
            <v>Unskilled Resident</v>
          </cell>
          <cell r="S741" t="str">
            <v>Yes</v>
          </cell>
        </row>
        <row r="742">
          <cell r="C742" t="str">
            <v>All Paid</v>
          </cell>
          <cell r="D742" t="str">
            <v>New Car</v>
          </cell>
          <cell r="E742">
            <v>255750</v>
          </cell>
          <cell r="F742" t="str">
            <v>10000 - 49999</v>
          </cell>
          <cell r="G742" t="str">
            <v>4-6 Years</v>
          </cell>
          <cell r="I742" t="str">
            <v>Male</v>
          </cell>
          <cell r="N742" t="str">
            <v>Own</v>
          </cell>
          <cell r="P742" t="str">
            <v>Skilled</v>
          </cell>
          <cell r="S742" t="str">
            <v>Yes</v>
          </cell>
        </row>
        <row r="743">
          <cell r="C743" t="str">
            <v>All Paid</v>
          </cell>
          <cell r="D743" t="str">
            <v>Radio/Tv</v>
          </cell>
          <cell r="E743">
            <v>115280</v>
          </cell>
          <cell r="F743" t="str">
            <v>Less than 10000</v>
          </cell>
          <cell r="G743" t="str">
            <v>1-4 Years</v>
          </cell>
          <cell r="I743" t="str">
            <v>Male</v>
          </cell>
          <cell r="N743" t="str">
            <v>Own</v>
          </cell>
          <cell r="P743" t="str">
            <v>Unskilled Resident</v>
          </cell>
          <cell r="S743" t="str">
            <v>Yes</v>
          </cell>
        </row>
        <row r="744">
          <cell r="C744" t="str">
            <v>Existing Paid</v>
          </cell>
          <cell r="D744" t="str">
            <v>Radio/Tv</v>
          </cell>
          <cell r="E744">
            <v>347600</v>
          </cell>
          <cell r="F744" t="str">
            <v>No Savings</v>
          </cell>
          <cell r="G744" t="str">
            <v>7 Years</v>
          </cell>
          <cell r="I744" t="str">
            <v>Male</v>
          </cell>
          <cell r="N744" t="str">
            <v>Own</v>
          </cell>
          <cell r="P744" t="str">
            <v>Skilled</v>
          </cell>
          <cell r="S744" t="str">
            <v>Yes</v>
          </cell>
        </row>
        <row r="745">
          <cell r="C745" t="str">
            <v>All Paid</v>
          </cell>
          <cell r="D745" t="str">
            <v>Furniture/Equipment</v>
          </cell>
          <cell r="E745">
            <v>273130</v>
          </cell>
          <cell r="F745" t="str">
            <v>50000 - 99999</v>
          </cell>
          <cell r="G745" t="str">
            <v>1-4 Years</v>
          </cell>
          <cell r="I745" t="str">
            <v>Male</v>
          </cell>
          <cell r="N745" t="str">
            <v>Own</v>
          </cell>
          <cell r="P745" t="str">
            <v>Skilled</v>
          </cell>
          <cell r="S745" t="str">
            <v>Yes</v>
          </cell>
        </row>
        <row r="746">
          <cell r="C746" t="str">
            <v>Critical/Other Existing Credit</v>
          </cell>
          <cell r="D746" t="str">
            <v>Furniture/Equipment</v>
          </cell>
          <cell r="E746">
            <v>1559690</v>
          </cell>
          <cell r="F746" t="str">
            <v>No Savings</v>
          </cell>
          <cell r="G746" t="str">
            <v>4-6 Years</v>
          </cell>
          <cell r="I746" t="str">
            <v>Male</v>
          </cell>
          <cell r="N746" t="str">
            <v>Own</v>
          </cell>
          <cell r="P746" t="str">
            <v>High Qualif/Self Emp/Mgmt</v>
          </cell>
          <cell r="S746" t="str">
            <v>Yes</v>
          </cell>
        </row>
        <row r="747">
          <cell r="C747" t="str">
            <v>Critical/Other Existing Credit</v>
          </cell>
          <cell r="D747" t="str">
            <v>Business</v>
          </cell>
          <cell r="E747">
            <v>197670</v>
          </cell>
          <cell r="F747" t="str">
            <v>Less than 10000</v>
          </cell>
          <cell r="G747" t="str">
            <v>Below 1Years</v>
          </cell>
          <cell r="I747" t="str">
            <v>Male</v>
          </cell>
          <cell r="N747" t="str">
            <v>Own</v>
          </cell>
          <cell r="P747" t="str">
            <v>Unskilled Resident</v>
          </cell>
          <cell r="S747" t="str">
            <v>Yes</v>
          </cell>
        </row>
        <row r="748">
          <cell r="C748" t="str">
            <v>Existing Paid</v>
          </cell>
          <cell r="D748" t="str">
            <v>New Car</v>
          </cell>
          <cell r="E748">
            <v>276210</v>
          </cell>
          <cell r="F748" t="str">
            <v>Less than 10000</v>
          </cell>
          <cell r="G748" t="str">
            <v>Unemployed</v>
          </cell>
          <cell r="I748" t="str">
            <v>Female</v>
          </cell>
          <cell r="N748" t="str">
            <v>Rent</v>
          </cell>
          <cell r="P748" t="str">
            <v>Skilled</v>
          </cell>
          <cell r="S748" t="str">
            <v>Yes</v>
          </cell>
        </row>
        <row r="749">
          <cell r="C749" t="str">
            <v>Existing Paid</v>
          </cell>
          <cell r="D749" t="str">
            <v>New Car</v>
          </cell>
          <cell r="E749">
            <v>140140</v>
          </cell>
          <cell r="F749" t="str">
            <v>Less than 10000</v>
          </cell>
          <cell r="G749" t="str">
            <v>Below 1Years</v>
          </cell>
          <cell r="I749" t="str">
            <v>Female</v>
          </cell>
          <cell r="N749" t="str">
            <v>Own</v>
          </cell>
          <cell r="P749" t="str">
            <v>Unskilled Resident</v>
          </cell>
          <cell r="S749" t="str">
            <v>Yes</v>
          </cell>
        </row>
        <row r="750">
          <cell r="C750" t="str">
            <v>Existing Paid</v>
          </cell>
          <cell r="D750" t="str">
            <v>Used Car</v>
          </cell>
          <cell r="E750">
            <v>577280</v>
          </cell>
          <cell r="F750" t="str">
            <v>No Savings</v>
          </cell>
          <cell r="G750" t="str">
            <v>1-4 Years</v>
          </cell>
          <cell r="I750" t="str">
            <v>Male</v>
          </cell>
          <cell r="N750" t="str">
            <v>Own</v>
          </cell>
          <cell r="P750" t="str">
            <v>Skilled</v>
          </cell>
          <cell r="S750" t="str">
            <v>Yes</v>
          </cell>
        </row>
        <row r="751">
          <cell r="C751" t="str">
            <v>Existing Paid</v>
          </cell>
          <cell r="D751" t="str">
            <v>Used Car</v>
          </cell>
          <cell r="E751">
            <v>333190</v>
          </cell>
          <cell r="F751" t="str">
            <v>Less than 10000</v>
          </cell>
          <cell r="G751" t="str">
            <v>4-6 Years</v>
          </cell>
          <cell r="I751" t="str">
            <v>Male</v>
          </cell>
          <cell r="N751" t="str">
            <v>Own</v>
          </cell>
          <cell r="P751" t="str">
            <v>Skilled</v>
          </cell>
          <cell r="S751" t="str">
            <v>Yes</v>
          </cell>
        </row>
        <row r="752">
          <cell r="C752" t="str">
            <v>Existing Paid</v>
          </cell>
          <cell r="D752" t="str">
            <v>Furniture/Equipment</v>
          </cell>
          <cell r="E752">
            <v>47080</v>
          </cell>
          <cell r="F752" t="str">
            <v>Less than 10000</v>
          </cell>
          <cell r="G752" t="str">
            <v>7 Years</v>
          </cell>
          <cell r="I752" t="str">
            <v>Female</v>
          </cell>
          <cell r="N752" t="str">
            <v>Own</v>
          </cell>
          <cell r="P752" t="str">
            <v>Skilled</v>
          </cell>
          <cell r="S752" t="str">
            <v>Yes</v>
          </cell>
        </row>
        <row r="753">
          <cell r="C753" t="str">
            <v>Existing Paid</v>
          </cell>
          <cell r="D753" t="str">
            <v>New Car</v>
          </cell>
          <cell r="E753">
            <v>107360</v>
          </cell>
          <cell r="F753" t="str">
            <v>Less than 10000</v>
          </cell>
          <cell r="G753" t="str">
            <v>Below 1Years</v>
          </cell>
          <cell r="I753" t="str">
            <v>Female</v>
          </cell>
          <cell r="N753" t="str">
            <v>Own</v>
          </cell>
          <cell r="P753" t="str">
            <v>Unskilled Resident</v>
          </cell>
          <cell r="S753" t="str">
            <v>Yes</v>
          </cell>
        </row>
        <row r="754">
          <cell r="C754" t="str">
            <v>Existing Paid</v>
          </cell>
          <cell r="D754" t="str">
            <v>Business</v>
          </cell>
          <cell r="E754">
            <v>92510</v>
          </cell>
          <cell r="F754" t="str">
            <v>10000 - 49999</v>
          </cell>
          <cell r="G754" t="str">
            <v>4-6 Years</v>
          </cell>
          <cell r="I754" t="str">
            <v>Female</v>
          </cell>
          <cell r="N754" t="str">
            <v>Rent</v>
          </cell>
          <cell r="P754" t="str">
            <v>Unskilled Resident</v>
          </cell>
          <cell r="S754" t="str">
            <v>Yes</v>
          </cell>
        </row>
        <row r="755">
          <cell r="C755" t="str">
            <v>Critical/Other Existing Credit</v>
          </cell>
          <cell r="D755" t="str">
            <v>Radio/Tv</v>
          </cell>
          <cell r="E755">
            <v>634810</v>
          </cell>
          <cell r="F755" t="str">
            <v>Less than 10000</v>
          </cell>
          <cell r="G755" t="str">
            <v>4-6 Years</v>
          </cell>
          <cell r="I755" t="str">
            <v>Female</v>
          </cell>
          <cell r="N755" t="str">
            <v>Own</v>
          </cell>
          <cell r="P755" t="str">
            <v>Skilled</v>
          </cell>
          <cell r="S755" t="str">
            <v>Yes</v>
          </cell>
        </row>
        <row r="756">
          <cell r="C756" t="str">
            <v>Delayed Previously</v>
          </cell>
          <cell r="D756" t="str">
            <v>Repairs</v>
          </cell>
          <cell r="E756">
            <v>171050</v>
          </cell>
          <cell r="F756" t="str">
            <v>1,00000 or Above</v>
          </cell>
          <cell r="G756" t="str">
            <v>7 Years</v>
          </cell>
          <cell r="I756" t="str">
            <v>Male</v>
          </cell>
          <cell r="N756" t="str">
            <v>For Free</v>
          </cell>
          <cell r="P756" t="str">
            <v>Skilled</v>
          </cell>
          <cell r="S756" t="str">
            <v>Yes</v>
          </cell>
        </row>
        <row r="757">
          <cell r="C757" t="str">
            <v>Existing Paid</v>
          </cell>
          <cell r="D757" t="str">
            <v>New Car</v>
          </cell>
          <cell r="E757">
            <v>141350</v>
          </cell>
          <cell r="F757" t="str">
            <v>No Savings</v>
          </cell>
          <cell r="G757" t="str">
            <v>4-6 Years</v>
          </cell>
          <cell r="I757" t="str">
            <v>Female</v>
          </cell>
          <cell r="N757" t="str">
            <v>Rent</v>
          </cell>
          <cell r="P757" t="str">
            <v>Skilled</v>
          </cell>
          <cell r="S757" t="str">
            <v>Yes</v>
          </cell>
        </row>
        <row r="758">
          <cell r="C758" t="str">
            <v>Critical/Other Existing Credit</v>
          </cell>
          <cell r="D758" t="str">
            <v>New Car</v>
          </cell>
          <cell r="E758">
            <v>142890</v>
          </cell>
          <cell r="F758" t="str">
            <v>Less than 10000</v>
          </cell>
          <cell r="G758" t="str">
            <v>1-4 Years</v>
          </cell>
          <cell r="I758" t="str">
            <v>Male</v>
          </cell>
          <cell r="N758" t="str">
            <v>Own</v>
          </cell>
          <cell r="P758" t="str">
            <v>Unemp/Unskilled Non Res</v>
          </cell>
          <cell r="S758" t="str">
            <v>No</v>
          </cell>
        </row>
        <row r="759">
          <cell r="C759" t="str">
            <v>Critical/Other Existing Credit</v>
          </cell>
          <cell r="D759" t="str">
            <v>Radio/Tv</v>
          </cell>
          <cell r="E759">
            <v>139810</v>
          </cell>
          <cell r="F759" t="str">
            <v>No Savings</v>
          </cell>
          <cell r="G759" t="str">
            <v>1-4 Years</v>
          </cell>
          <cell r="I759" t="str">
            <v>Male</v>
          </cell>
          <cell r="N759" t="str">
            <v>For Free</v>
          </cell>
          <cell r="P759" t="str">
            <v>Skilled</v>
          </cell>
          <cell r="S759" t="str">
            <v>Yes</v>
          </cell>
        </row>
        <row r="760">
          <cell r="C760" t="str">
            <v>Existing Paid</v>
          </cell>
          <cell r="D760" t="str">
            <v>New Car</v>
          </cell>
          <cell r="E760">
            <v>153230</v>
          </cell>
          <cell r="F760" t="str">
            <v>Less than 10000</v>
          </cell>
          <cell r="G760" t="str">
            <v>1-4 Years</v>
          </cell>
          <cell r="I760" t="str">
            <v>Male</v>
          </cell>
          <cell r="N760" t="str">
            <v>Own</v>
          </cell>
          <cell r="P760" t="str">
            <v>Skilled</v>
          </cell>
          <cell r="S760" t="str">
            <v>Yes</v>
          </cell>
        </row>
        <row r="761">
          <cell r="C761" t="str">
            <v>Critical/Other Existing Credit</v>
          </cell>
          <cell r="D761" t="str">
            <v>New Car</v>
          </cell>
          <cell r="E761">
            <v>76010</v>
          </cell>
          <cell r="F761" t="str">
            <v>Less than 10000</v>
          </cell>
          <cell r="G761" t="str">
            <v>7 Years</v>
          </cell>
          <cell r="I761" t="str">
            <v>Male</v>
          </cell>
          <cell r="N761" t="str">
            <v>Own</v>
          </cell>
          <cell r="P761" t="str">
            <v>Skilled</v>
          </cell>
          <cell r="S761" t="str">
            <v>Yes</v>
          </cell>
        </row>
        <row r="762">
          <cell r="C762" t="str">
            <v>Critical/Other Existing Credit</v>
          </cell>
          <cell r="D762" t="str">
            <v>New Car</v>
          </cell>
          <cell r="E762">
            <v>554950</v>
          </cell>
          <cell r="F762" t="str">
            <v>No Savings</v>
          </cell>
          <cell r="G762" t="str">
            <v>7 Years</v>
          </cell>
          <cell r="I762" t="str">
            <v>Female</v>
          </cell>
          <cell r="N762" t="str">
            <v>Own</v>
          </cell>
          <cell r="P762" t="str">
            <v>Skilled</v>
          </cell>
          <cell r="S762" t="str">
            <v>Yes</v>
          </cell>
        </row>
        <row r="763">
          <cell r="C763" t="str">
            <v>Critical/Other Existing Credit</v>
          </cell>
          <cell r="D763" t="str">
            <v>Furniture/Equipment</v>
          </cell>
          <cell r="E763">
            <v>233640</v>
          </cell>
          <cell r="F763" t="str">
            <v>Less than 10000</v>
          </cell>
          <cell r="G763" t="str">
            <v>1-4 Years</v>
          </cell>
          <cell r="I763" t="str">
            <v>Female</v>
          </cell>
          <cell r="N763" t="str">
            <v>Rent</v>
          </cell>
          <cell r="P763" t="str">
            <v>Skilled</v>
          </cell>
          <cell r="S763" t="str">
            <v>Yes</v>
          </cell>
        </row>
        <row r="764">
          <cell r="C764" t="str">
            <v>Existing Paid</v>
          </cell>
          <cell r="D764" t="str">
            <v>Radio/Tv</v>
          </cell>
          <cell r="E764">
            <v>243540</v>
          </cell>
          <cell r="F764" t="str">
            <v>Less than 10000</v>
          </cell>
          <cell r="G764" t="str">
            <v>1-4 Years</v>
          </cell>
          <cell r="I764" t="str">
            <v>Male</v>
          </cell>
          <cell r="N764" t="str">
            <v>Own</v>
          </cell>
          <cell r="P764" t="str">
            <v>Unskilled Resident</v>
          </cell>
          <cell r="S764" t="str">
            <v>Yes</v>
          </cell>
        </row>
        <row r="765">
          <cell r="C765" t="str">
            <v>Critical/Other Existing Credit</v>
          </cell>
          <cell r="D765" t="str">
            <v>New Car</v>
          </cell>
          <cell r="E765">
            <v>1394800</v>
          </cell>
          <cell r="F765" t="str">
            <v>No Savings</v>
          </cell>
          <cell r="G765" t="str">
            <v>7 Years</v>
          </cell>
          <cell r="I765" t="str">
            <v>Male</v>
          </cell>
          <cell r="N765" t="str">
            <v>For Free</v>
          </cell>
          <cell r="P765" t="str">
            <v>High Qualif/Self Emp/Mgmt</v>
          </cell>
          <cell r="S765" t="str">
            <v>Yes</v>
          </cell>
        </row>
        <row r="766">
          <cell r="C766" t="str">
            <v>Critical/Other Existing Credit</v>
          </cell>
          <cell r="D766" t="str">
            <v>New Car</v>
          </cell>
          <cell r="E766">
            <v>270930</v>
          </cell>
          <cell r="F766" t="str">
            <v>10000 - 49999</v>
          </cell>
          <cell r="G766" t="str">
            <v>4-6 Years</v>
          </cell>
          <cell r="I766" t="str">
            <v>Male</v>
          </cell>
          <cell r="N766" t="str">
            <v>Own</v>
          </cell>
          <cell r="P766" t="str">
            <v>Skilled</v>
          </cell>
          <cell r="S766" t="str">
            <v>Yes</v>
          </cell>
        </row>
        <row r="767">
          <cell r="C767" t="str">
            <v>Existing Paid</v>
          </cell>
          <cell r="D767" t="str">
            <v>Radio/Tv</v>
          </cell>
          <cell r="E767">
            <v>127050</v>
          </cell>
          <cell r="F767" t="str">
            <v>Less than 10000</v>
          </cell>
          <cell r="G767" t="str">
            <v>7 Years</v>
          </cell>
          <cell r="I767" t="str">
            <v>Male</v>
          </cell>
          <cell r="N767" t="str">
            <v>Own</v>
          </cell>
          <cell r="P767" t="str">
            <v>Unskilled Resident</v>
          </cell>
          <cell r="S767" t="str">
            <v>Yes</v>
          </cell>
        </row>
        <row r="768">
          <cell r="C768" t="str">
            <v>Existing Paid</v>
          </cell>
          <cell r="D768" t="str">
            <v>Furniture/Equipment</v>
          </cell>
          <cell r="E768">
            <v>341880</v>
          </cell>
          <cell r="F768" t="str">
            <v>Less than 10000</v>
          </cell>
          <cell r="G768" t="str">
            <v>Below 1Years</v>
          </cell>
          <cell r="I768" t="str">
            <v>Male</v>
          </cell>
          <cell r="N768" t="str">
            <v>Own</v>
          </cell>
          <cell r="P768" t="str">
            <v>Unskilled Resident</v>
          </cell>
          <cell r="S768" t="str">
            <v>Yes</v>
          </cell>
        </row>
        <row r="769">
          <cell r="C769" t="str">
            <v>Existing Paid</v>
          </cell>
          <cell r="D769" t="str">
            <v>Used Car</v>
          </cell>
          <cell r="E769">
            <v>319110</v>
          </cell>
          <cell r="F769" t="str">
            <v>No Savings</v>
          </cell>
          <cell r="G769" t="str">
            <v>Below 1Years</v>
          </cell>
          <cell r="I769" t="str">
            <v>Female</v>
          </cell>
          <cell r="N769" t="str">
            <v>Rent</v>
          </cell>
          <cell r="P769" t="str">
            <v>Skilled</v>
          </cell>
          <cell r="S769" t="str">
            <v>Yes</v>
          </cell>
        </row>
        <row r="770">
          <cell r="C770" t="str">
            <v>Critical/Other Existing Credit</v>
          </cell>
          <cell r="D770" t="str">
            <v>Furniture/Equipment</v>
          </cell>
          <cell r="E770">
            <v>397870</v>
          </cell>
          <cell r="F770" t="str">
            <v>Less than 10000</v>
          </cell>
          <cell r="G770" t="str">
            <v>7 Years</v>
          </cell>
          <cell r="I770" t="str">
            <v>Male</v>
          </cell>
          <cell r="N770" t="str">
            <v>Rent</v>
          </cell>
          <cell r="P770" t="str">
            <v>Skilled</v>
          </cell>
          <cell r="S770" t="str">
            <v>Yes</v>
          </cell>
        </row>
        <row r="771">
          <cell r="C771" t="str">
            <v>Critical/Other Existing Credit</v>
          </cell>
          <cell r="D771" t="str">
            <v>Radio/Tv</v>
          </cell>
          <cell r="E771">
            <v>182050</v>
          </cell>
          <cell r="F771" t="str">
            <v>Less than 10000</v>
          </cell>
          <cell r="G771" t="str">
            <v>7 Years</v>
          </cell>
          <cell r="I771" t="str">
            <v>Male</v>
          </cell>
          <cell r="N771" t="str">
            <v>Own</v>
          </cell>
          <cell r="P771" t="str">
            <v>Unskilled Resident</v>
          </cell>
          <cell r="S771" t="str">
            <v>Yes</v>
          </cell>
        </row>
        <row r="772">
          <cell r="C772" t="str">
            <v>Existing Paid</v>
          </cell>
          <cell r="D772" t="str">
            <v>Used Car</v>
          </cell>
          <cell r="E772">
            <v>309320</v>
          </cell>
          <cell r="F772" t="str">
            <v>No Savings</v>
          </cell>
          <cell r="G772" t="str">
            <v>7 Years</v>
          </cell>
          <cell r="I772" t="str">
            <v>Female</v>
          </cell>
          <cell r="N772" t="str">
            <v>Rent</v>
          </cell>
          <cell r="P772" t="str">
            <v>Skilled</v>
          </cell>
          <cell r="S772" t="str">
            <v>Yes</v>
          </cell>
        </row>
        <row r="773">
          <cell r="C773" t="str">
            <v>Critical/Other Existing Credit</v>
          </cell>
          <cell r="D773" t="str">
            <v>Education</v>
          </cell>
          <cell r="E773">
            <v>887150</v>
          </cell>
          <cell r="F773" t="str">
            <v>Less than 10000</v>
          </cell>
          <cell r="G773" t="str">
            <v>1-4 Years</v>
          </cell>
          <cell r="I773" t="str">
            <v>Female</v>
          </cell>
          <cell r="N773" t="str">
            <v>Own</v>
          </cell>
          <cell r="P773" t="str">
            <v>High Qualif/Self Emp/Mgmt</v>
          </cell>
          <cell r="S773" t="str">
            <v>Yes</v>
          </cell>
        </row>
        <row r="774">
          <cell r="C774" t="str">
            <v>Critical/Other Existing Credit</v>
          </cell>
          <cell r="D774" t="str">
            <v>Used Car</v>
          </cell>
          <cell r="E774">
            <v>360250</v>
          </cell>
          <cell r="F774" t="str">
            <v>Less than 10000</v>
          </cell>
          <cell r="G774" t="str">
            <v>7 Years</v>
          </cell>
          <cell r="I774" t="str">
            <v>Male</v>
          </cell>
          <cell r="N774" t="str">
            <v>Own</v>
          </cell>
          <cell r="P774" t="str">
            <v>High Qualif/Self Emp/Mgmt</v>
          </cell>
          <cell r="S774" t="str">
            <v>Yes</v>
          </cell>
        </row>
        <row r="775">
          <cell r="C775" t="str">
            <v>Critical/Other Existing Credit</v>
          </cell>
          <cell r="D775" t="str">
            <v>Radio/Tv</v>
          </cell>
          <cell r="E775">
            <v>244530</v>
          </cell>
          <cell r="F775" t="str">
            <v>10000 - 49999</v>
          </cell>
          <cell r="G775" t="str">
            <v>7 Years</v>
          </cell>
          <cell r="I775" t="str">
            <v>Male</v>
          </cell>
          <cell r="N775" t="str">
            <v>Own</v>
          </cell>
          <cell r="P775" t="str">
            <v>Skilled</v>
          </cell>
          <cell r="S775" t="str">
            <v>Yes</v>
          </cell>
        </row>
        <row r="776">
          <cell r="C776" t="str">
            <v>Critical/Other Existing Credit</v>
          </cell>
          <cell r="D776" t="str">
            <v>New Car</v>
          </cell>
          <cell r="E776">
            <v>162800</v>
          </cell>
          <cell r="F776" t="str">
            <v>50000 - 99999</v>
          </cell>
          <cell r="G776" t="str">
            <v>Unemployed</v>
          </cell>
          <cell r="I776" t="str">
            <v>Male</v>
          </cell>
          <cell r="N776" t="str">
            <v>For Free</v>
          </cell>
          <cell r="P776" t="str">
            <v>Unemp/Unskilled Non Res</v>
          </cell>
          <cell r="S776" t="str">
            <v>Yes</v>
          </cell>
        </row>
        <row r="777">
          <cell r="C777" t="str">
            <v>Existing Paid</v>
          </cell>
          <cell r="D777" t="str">
            <v>New Car</v>
          </cell>
          <cell r="E777">
            <v>150810</v>
          </cell>
          <cell r="F777" t="str">
            <v>No Savings</v>
          </cell>
          <cell r="G777" t="str">
            <v>1-4 Years</v>
          </cell>
          <cell r="I777" t="str">
            <v>Female</v>
          </cell>
          <cell r="N777" t="str">
            <v>Rent</v>
          </cell>
          <cell r="P777" t="str">
            <v>Skilled</v>
          </cell>
          <cell r="S777" t="str">
            <v>Yes</v>
          </cell>
        </row>
        <row r="778">
          <cell r="C778" t="str">
            <v>Critical/Other Existing Credit</v>
          </cell>
          <cell r="D778" t="str">
            <v>New Car</v>
          </cell>
          <cell r="E778">
            <v>388850</v>
          </cell>
          <cell r="F778" t="str">
            <v>Less than 10000</v>
          </cell>
          <cell r="G778" t="str">
            <v>4-6 Years</v>
          </cell>
          <cell r="I778" t="str">
            <v>Male</v>
          </cell>
          <cell r="N778" t="str">
            <v>Own</v>
          </cell>
          <cell r="P778" t="str">
            <v>Skilled</v>
          </cell>
          <cell r="S778" t="str">
            <v>Yes</v>
          </cell>
        </row>
        <row r="779">
          <cell r="C779" t="str">
            <v>Existing Paid</v>
          </cell>
          <cell r="D779" t="str">
            <v>Radio/Tv</v>
          </cell>
          <cell r="E779">
            <v>385990</v>
          </cell>
          <cell r="F779" t="str">
            <v>Less than 10000</v>
          </cell>
          <cell r="G779" t="str">
            <v>4-6 Years</v>
          </cell>
          <cell r="I779" t="str">
            <v>Female</v>
          </cell>
          <cell r="N779" t="str">
            <v>Own</v>
          </cell>
          <cell r="P779" t="str">
            <v>Skilled</v>
          </cell>
          <cell r="S779" t="str">
            <v>Yes</v>
          </cell>
        </row>
        <row r="780">
          <cell r="C780" t="str">
            <v>Critical/Other Existing Credit</v>
          </cell>
          <cell r="D780" t="str">
            <v>Used Car</v>
          </cell>
          <cell r="E780">
            <v>628210</v>
          </cell>
          <cell r="F780" t="str">
            <v>1,00000 or Above</v>
          </cell>
          <cell r="G780" t="str">
            <v>7 Years</v>
          </cell>
          <cell r="I780" t="str">
            <v>Male</v>
          </cell>
          <cell r="N780" t="str">
            <v>Own</v>
          </cell>
          <cell r="P780" t="str">
            <v>High Qualif/Self Emp/Mgmt</v>
          </cell>
          <cell r="S780" t="str">
            <v>Yes</v>
          </cell>
        </row>
        <row r="781">
          <cell r="C781" t="str">
            <v>Existing Paid</v>
          </cell>
          <cell r="D781" t="str">
            <v>Repairs</v>
          </cell>
          <cell r="E781">
            <v>425920</v>
          </cell>
          <cell r="F781" t="str">
            <v>Less than 10000</v>
          </cell>
          <cell r="G781" t="str">
            <v>Unemployed</v>
          </cell>
          <cell r="I781" t="str">
            <v>Female</v>
          </cell>
          <cell r="N781" t="str">
            <v>Own</v>
          </cell>
          <cell r="P781" t="str">
            <v>Skilled</v>
          </cell>
          <cell r="S781" t="str">
            <v>Yes</v>
          </cell>
        </row>
        <row r="782">
          <cell r="C782" t="str">
            <v>Critical/Other Existing Credit</v>
          </cell>
          <cell r="D782" t="str">
            <v>Radio/Tv</v>
          </cell>
          <cell r="E782">
            <v>542630</v>
          </cell>
          <cell r="F782" t="str">
            <v>Less than 10000</v>
          </cell>
          <cell r="G782" t="str">
            <v>4-6 Years</v>
          </cell>
          <cell r="I782" t="str">
            <v>Male</v>
          </cell>
          <cell r="N782" t="str">
            <v>Own</v>
          </cell>
          <cell r="P782" t="str">
            <v>Skilled</v>
          </cell>
          <cell r="S782" t="str">
            <v>Yes</v>
          </cell>
        </row>
        <row r="783">
          <cell r="C783" t="str">
            <v>Critical/Other Existing Credit</v>
          </cell>
          <cell r="D783" t="str">
            <v>New Car</v>
          </cell>
          <cell r="E783">
            <v>213400</v>
          </cell>
          <cell r="F783" t="str">
            <v>1,00000 or Above</v>
          </cell>
          <cell r="G783" t="str">
            <v>7 Years</v>
          </cell>
          <cell r="I783" t="str">
            <v>Male</v>
          </cell>
          <cell r="N783" t="str">
            <v>Own</v>
          </cell>
          <cell r="P783" t="str">
            <v>Skilled</v>
          </cell>
          <cell r="S783" t="str">
            <v>Yes</v>
          </cell>
        </row>
        <row r="784">
          <cell r="C784" t="str">
            <v>No Credits/All Paid</v>
          </cell>
          <cell r="D784" t="str">
            <v>Retraining</v>
          </cell>
          <cell r="E784">
            <v>155100</v>
          </cell>
          <cell r="F784" t="str">
            <v>Less than 10000</v>
          </cell>
          <cell r="G784" t="str">
            <v>1-4 Years</v>
          </cell>
          <cell r="I784" t="str">
            <v>Male</v>
          </cell>
          <cell r="N784" t="str">
            <v>Own</v>
          </cell>
          <cell r="P784" t="str">
            <v>Unskilled Resident</v>
          </cell>
          <cell r="S784" t="str">
            <v>Yes</v>
          </cell>
        </row>
        <row r="785">
          <cell r="C785" t="str">
            <v>Existing Paid</v>
          </cell>
          <cell r="D785" t="str">
            <v>New Car</v>
          </cell>
          <cell r="E785">
            <v>91960</v>
          </cell>
          <cell r="F785" t="str">
            <v>10000 - 49999</v>
          </cell>
          <cell r="G785" t="str">
            <v>Below 1Years</v>
          </cell>
          <cell r="I785" t="str">
            <v>Female</v>
          </cell>
          <cell r="N785" t="str">
            <v>Own</v>
          </cell>
          <cell r="P785" t="str">
            <v>Unskilled Resident</v>
          </cell>
          <cell r="S785" t="str">
            <v>Yes</v>
          </cell>
        </row>
        <row r="786">
          <cell r="C786" t="str">
            <v>Existing Paid</v>
          </cell>
          <cell r="D786" t="str">
            <v>Used Car</v>
          </cell>
          <cell r="E786">
            <v>711480</v>
          </cell>
          <cell r="F786" t="str">
            <v>No Savings</v>
          </cell>
          <cell r="G786" t="str">
            <v>Unemployed</v>
          </cell>
          <cell r="I786" t="str">
            <v>Male</v>
          </cell>
          <cell r="N786" t="str">
            <v>Own</v>
          </cell>
          <cell r="P786" t="str">
            <v>High Qualif/Self Emp/Mgmt</v>
          </cell>
          <cell r="S786" t="str">
            <v>Yes</v>
          </cell>
        </row>
        <row r="787">
          <cell r="C787" t="str">
            <v>Existing Paid</v>
          </cell>
          <cell r="D787" t="str">
            <v>Business</v>
          </cell>
          <cell r="E787">
            <v>213510</v>
          </cell>
          <cell r="F787" t="str">
            <v>1,00000 or Above</v>
          </cell>
          <cell r="G787" t="str">
            <v>1-4 Years</v>
          </cell>
          <cell r="I787" t="str">
            <v>Male</v>
          </cell>
          <cell r="N787" t="str">
            <v>Own</v>
          </cell>
          <cell r="P787" t="str">
            <v>Unskilled Resident</v>
          </cell>
          <cell r="S787" t="str">
            <v>Yes</v>
          </cell>
        </row>
        <row r="788">
          <cell r="C788" t="str">
            <v>Existing Paid</v>
          </cell>
          <cell r="D788" t="str">
            <v>Radio/Tv</v>
          </cell>
          <cell r="E788">
            <v>294250</v>
          </cell>
          <cell r="F788" t="str">
            <v>50000 - 99999</v>
          </cell>
          <cell r="G788" t="str">
            <v>7 Years</v>
          </cell>
          <cell r="I788" t="str">
            <v>Male</v>
          </cell>
          <cell r="N788" t="str">
            <v>Own</v>
          </cell>
          <cell r="P788" t="str">
            <v>Skilled</v>
          </cell>
          <cell r="S788" t="str">
            <v>Yes</v>
          </cell>
        </row>
        <row r="789">
          <cell r="C789" t="str">
            <v>Critical/Other Existing Credit</v>
          </cell>
          <cell r="D789" t="str">
            <v>Used Car</v>
          </cell>
          <cell r="E789">
            <v>302610</v>
          </cell>
          <cell r="F789" t="str">
            <v>No Savings</v>
          </cell>
          <cell r="G789" t="str">
            <v>7 Years</v>
          </cell>
          <cell r="I789" t="str">
            <v>Male</v>
          </cell>
          <cell r="N789" t="str">
            <v>Own</v>
          </cell>
          <cell r="P789" t="str">
            <v>Skilled</v>
          </cell>
          <cell r="S789" t="str">
            <v>Yes</v>
          </cell>
        </row>
        <row r="790">
          <cell r="C790" t="str">
            <v>Delayed Previously</v>
          </cell>
          <cell r="D790" t="str">
            <v>Education</v>
          </cell>
          <cell r="E790">
            <v>684640</v>
          </cell>
          <cell r="F790" t="str">
            <v>Less than 10000</v>
          </cell>
          <cell r="G790" t="str">
            <v>7 Years</v>
          </cell>
          <cell r="I790" t="str">
            <v>Male</v>
          </cell>
          <cell r="N790" t="str">
            <v>For Free</v>
          </cell>
          <cell r="P790" t="str">
            <v>Skilled</v>
          </cell>
          <cell r="S790" t="str">
            <v>Yes</v>
          </cell>
        </row>
        <row r="791">
          <cell r="C791" t="str">
            <v>Critical/Other Existing Credit</v>
          </cell>
          <cell r="D791" t="str">
            <v>Education</v>
          </cell>
          <cell r="E791">
            <v>659780</v>
          </cell>
          <cell r="F791" t="str">
            <v>Less than 10000</v>
          </cell>
          <cell r="G791" t="str">
            <v>1-4 Years</v>
          </cell>
          <cell r="I791" t="str">
            <v>Male</v>
          </cell>
          <cell r="N791" t="str">
            <v>Own</v>
          </cell>
          <cell r="P791" t="str">
            <v>Skilled</v>
          </cell>
          <cell r="S791" t="str">
            <v>Yes</v>
          </cell>
        </row>
        <row r="792">
          <cell r="C792" t="str">
            <v>Existing Paid</v>
          </cell>
          <cell r="D792" t="str">
            <v>Business</v>
          </cell>
          <cell r="E792">
            <v>130680</v>
          </cell>
          <cell r="F792" t="str">
            <v>Less than 10000</v>
          </cell>
          <cell r="G792" t="str">
            <v>7 Years</v>
          </cell>
          <cell r="I792" t="str">
            <v>Female</v>
          </cell>
          <cell r="N792" t="str">
            <v>Own</v>
          </cell>
          <cell r="P792" t="str">
            <v>Skilled</v>
          </cell>
          <cell r="S792" t="str">
            <v>Yes</v>
          </cell>
        </row>
        <row r="793">
          <cell r="C793" t="str">
            <v>Existing Paid</v>
          </cell>
          <cell r="D793" t="str">
            <v>Used Car</v>
          </cell>
          <cell r="E793">
            <v>694430</v>
          </cell>
          <cell r="F793" t="str">
            <v>No Savings</v>
          </cell>
          <cell r="G793" t="str">
            <v>7 Years</v>
          </cell>
          <cell r="I793" t="str">
            <v>Male</v>
          </cell>
          <cell r="N793" t="str">
            <v>Own</v>
          </cell>
          <cell r="P793" t="str">
            <v>High Qualif/Self Emp/Mgmt</v>
          </cell>
          <cell r="S793" t="str">
            <v>Yes</v>
          </cell>
        </row>
        <row r="794">
          <cell r="C794" t="str">
            <v>Critical/Other Existing Credit</v>
          </cell>
          <cell r="D794" t="str">
            <v>Furniture/Equipment</v>
          </cell>
          <cell r="E794">
            <v>134310</v>
          </cell>
          <cell r="F794" t="str">
            <v>No Savings</v>
          </cell>
          <cell r="G794" t="str">
            <v>1-4 Years</v>
          </cell>
          <cell r="I794" t="str">
            <v>Male</v>
          </cell>
          <cell r="N794" t="str">
            <v>Own</v>
          </cell>
          <cell r="P794" t="str">
            <v>Skilled</v>
          </cell>
          <cell r="S794" t="str">
            <v>Yes</v>
          </cell>
        </row>
        <row r="795">
          <cell r="C795" t="str">
            <v>Existing Paid</v>
          </cell>
          <cell r="D795" t="str">
            <v>Furniture/Equipment</v>
          </cell>
          <cell r="E795">
            <v>318120</v>
          </cell>
          <cell r="F795" t="str">
            <v>Less than 10000</v>
          </cell>
          <cell r="G795" t="str">
            <v>7 Years</v>
          </cell>
          <cell r="I795" t="str">
            <v>Male</v>
          </cell>
          <cell r="N795" t="str">
            <v>For Free</v>
          </cell>
          <cell r="P795" t="str">
            <v>Skilled</v>
          </cell>
          <cell r="S795" t="str">
            <v>Yes</v>
          </cell>
        </row>
        <row r="796">
          <cell r="C796" t="str">
            <v>Existing Paid</v>
          </cell>
          <cell r="D796" t="str">
            <v>Furniture/Equipment</v>
          </cell>
          <cell r="E796">
            <v>336820</v>
          </cell>
          <cell r="F796" t="str">
            <v>50000 - 99999</v>
          </cell>
          <cell r="G796" t="str">
            <v>7 Years</v>
          </cell>
          <cell r="I796" t="str">
            <v>Male</v>
          </cell>
          <cell r="N796" t="str">
            <v>Rent</v>
          </cell>
          <cell r="P796" t="str">
            <v>Skilled</v>
          </cell>
          <cell r="S796" t="str">
            <v>Yes</v>
          </cell>
        </row>
        <row r="797">
          <cell r="C797" t="str">
            <v>Existing Paid</v>
          </cell>
          <cell r="D797" t="str">
            <v>Furniture/Equipment</v>
          </cell>
          <cell r="E797">
            <v>253110</v>
          </cell>
          <cell r="F797" t="str">
            <v>10000 - 49999</v>
          </cell>
          <cell r="G797" t="str">
            <v>Below 1Years</v>
          </cell>
          <cell r="I797" t="str">
            <v>Female</v>
          </cell>
          <cell r="N797" t="str">
            <v>Rent</v>
          </cell>
          <cell r="P797" t="str">
            <v>Skilled</v>
          </cell>
          <cell r="S797" t="str">
            <v>Yes</v>
          </cell>
        </row>
        <row r="798">
          <cell r="C798" t="str">
            <v>Existing Paid</v>
          </cell>
          <cell r="D798" t="str">
            <v>Used Car</v>
          </cell>
          <cell r="E798">
            <v>826210</v>
          </cell>
          <cell r="F798" t="str">
            <v>No Savings</v>
          </cell>
          <cell r="G798" t="str">
            <v>7 Years</v>
          </cell>
          <cell r="I798" t="str">
            <v>Male</v>
          </cell>
          <cell r="N798" t="str">
            <v>For Free</v>
          </cell>
          <cell r="P798" t="str">
            <v>Skilled</v>
          </cell>
          <cell r="S798" t="str">
            <v>Yes</v>
          </cell>
        </row>
        <row r="799">
          <cell r="C799" t="str">
            <v>Critical/Other Existing Credit</v>
          </cell>
          <cell r="D799" t="str">
            <v>Furniture/Equipment</v>
          </cell>
          <cell r="E799">
            <v>138380</v>
          </cell>
          <cell r="F799" t="str">
            <v>Less than 10000</v>
          </cell>
          <cell r="G799" t="str">
            <v>Below 1Years</v>
          </cell>
          <cell r="I799" t="str">
            <v>Female</v>
          </cell>
          <cell r="N799" t="str">
            <v>Rent</v>
          </cell>
          <cell r="P799" t="str">
            <v>Unskilled Resident</v>
          </cell>
          <cell r="S799" t="str">
            <v>Yes</v>
          </cell>
        </row>
        <row r="800">
          <cell r="C800" t="str">
            <v>Delayed Previously</v>
          </cell>
          <cell r="D800" t="str">
            <v>New Car</v>
          </cell>
          <cell r="E800">
            <v>78870</v>
          </cell>
          <cell r="F800" t="str">
            <v>No Savings</v>
          </cell>
          <cell r="G800" t="str">
            <v>7 Years</v>
          </cell>
          <cell r="I800" t="str">
            <v>Male</v>
          </cell>
          <cell r="N800" t="str">
            <v>Own</v>
          </cell>
          <cell r="P800" t="str">
            <v>Skilled</v>
          </cell>
          <cell r="S800" t="str">
            <v>Yes</v>
          </cell>
        </row>
        <row r="801">
          <cell r="C801" t="str">
            <v>Existing Paid</v>
          </cell>
          <cell r="D801" t="str">
            <v>New Car</v>
          </cell>
          <cell r="E801">
            <v>170390</v>
          </cell>
          <cell r="F801" t="str">
            <v>No Savings</v>
          </cell>
          <cell r="G801" t="str">
            <v>Below 1Years</v>
          </cell>
          <cell r="I801" t="str">
            <v>Male</v>
          </cell>
          <cell r="N801" t="str">
            <v>Own</v>
          </cell>
          <cell r="P801" t="str">
            <v>Unemp/Unskilled Non Res</v>
          </cell>
          <cell r="S801" t="str">
            <v>Yes</v>
          </cell>
        </row>
        <row r="802">
          <cell r="C802" t="str">
            <v>Critical/Other Existing Credit</v>
          </cell>
          <cell r="D802" t="str">
            <v>Education</v>
          </cell>
          <cell r="E802">
            <v>175670</v>
          </cell>
          <cell r="F802" t="str">
            <v>Less than 10000</v>
          </cell>
          <cell r="G802" t="str">
            <v>7 Years</v>
          </cell>
          <cell r="I802" t="str">
            <v>Male</v>
          </cell>
          <cell r="N802" t="str">
            <v>For Free</v>
          </cell>
          <cell r="P802" t="str">
            <v>Skilled</v>
          </cell>
          <cell r="S802" t="str">
            <v>Yes</v>
          </cell>
        </row>
        <row r="803">
          <cell r="C803" t="str">
            <v>Critical/Other Existing Credit</v>
          </cell>
          <cell r="D803" t="str">
            <v>Radio/Tv</v>
          </cell>
          <cell r="E803">
            <v>197450</v>
          </cell>
          <cell r="F803" t="str">
            <v>Less than 10000</v>
          </cell>
          <cell r="G803" t="str">
            <v>7 Years</v>
          </cell>
          <cell r="I803" t="str">
            <v>Female</v>
          </cell>
          <cell r="N803" t="str">
            <v>Rent</v>
          </cell>
          <cell r="P803" t="str">
            <v>Unskilled Resident</v>
          </cell>
          <cell r="S803" t="str">
            <v>Yes</v>
          </cell>
        </row>
        <row r="804">
          <cell r="C804" t="str">
            <v>Critical/Other Existing Credit</v>
          </cell>
          <cell r="D804" t="str">
            <v>Furniture/Equipment</v>
          </cell>
          <cell r="E804">
            <v>469920</v>
          </cell>
          <cell r="F804" t="str">
            <v>Less than 10000</v>
          </cell>
          <cell r="G804" t="str">
            <v>7 Years</v>
          </cell>
          <cell r="I804" t="str">
            <v>Female</v>
          </cell>
          <cell r="N804" t="str">
            <v>Own</v>
          </cell>
          <cell r="P804" t="str">
            <v>Skilled</v>
          </cell>
          <cell r="S804" t="str">
            <v>Yes</v>
          </cell>
        </row>
        <row r="805">
          <cell r="C805" t="str">
            <v>Critical/Other Existing Credit</v>
          </cell>
          <cell r="D805" t="str">
            <v>Radio/Tv</v>
          </cell>
          <cell r="E805">
            <v>107360</v>
          </cell>
          <cell r="F805" t="str">
            <v>No Savings</v>
          </cell>
          <cell r="G805" t="str">
            <v>7 Years</v>
          </cell>
          <cell r="I805" t="str">
            <v>Male</v>
          </cell>
          <cell r="N805" t="str">
            <v>Own</v>
          </cell>
          <cell r="P805" t="str">
            <v>Skilled</v>
          </cell>
          <cell r="S805" t="str">
            <v>Yes</v>
          </cell>
        </row>
        <row r="806">
          <cell r="C806" t="str">
            <v>Existing Paid</v>
          </cell>
          <cell r="D806" t="str">
            <v>New Car</v>
          </cell>
          <cell r="E806">
            <v>821920</v>
          </cell>
          <cell r="F806" t="str">
            <v>No Savings</v>
          </cell>
          <cell r="G806" t="str">
            <v>Unemployed</v>
          </cell>
          <cell r="I806" t="str">
            <v>Female</v>
          </cell>
          <cell r="N806" t="str">
            <v>Rent</v>
          </cell>
          <cell r="P806" t="str">
            <v>Unemp/Unskilled Non Res</v>
          </cell>
          <cell r="S806" t="str">
            <v>Yes</v>
          </cell>
        </row>
        <row r="807">
          <cell r="C807" t="str">
            <v>Existing Paid</v>
          </cell>
          <cell r="D807" t="str">
            <v>New Car</v>
          </cell>
          <cell r="E807">
            <v>1019810</v>
          </cell>
          <cell r="F807" t="str">
            <v>Less than 10000</v>
          </cell>
          <cell r="G807" t="str">
            <v>4-6 Years</v>
          </cell>
          <cell r="I807" t="str">
            <v>Male</v>
          </cell>
          <cell r="N807" t="str">
            <v>Own</v>
          </cell>
          <cell r="P807" t="str">
            <v>Skilled</v>
          </cell>
          <cell r="S807" t="str">
            <v>Yes</v>
          </cell>
        </row>
        <row r="808">
          <cell r="C808" t="str">
            <v>Existing Paid</v>
          </cell>
          <cell r="D808" t="str">
            <v>Radio/Tv</v>
          </cell>
          <cell r="E808">
            <v>64900</v>
          </cell>
          <cell r="F808" t="str">
            <v>Less than 10000</v>
          </cell>
          <cell r="G808" t="str">
            <v>Below 1Years</v>
          </cell>
          <cell r="I808" t="str">
            <v>Male</v>
          </cell>
          <cell r="N808" t="str">
            <v>Own</v>
          </cell>
          <cell r="P808" t="str">
            <v>Unskilled Resident</v>
          </cell>
          <cell r="S808" t="str">
            <v>No</v>
          </cell>
        </row>
        <row r="809">
          <cell r="C809" t="str">
            <v>Critical/Other Existing Credit</v>
          </cell>
          <cell r="D809" t="str">
            <v>Radio/Tv</v>
          </cell>
          <cell r="E809">
            <v>102300</v>
          </cell>
          <cell r="F809" t="str">
            <v>No Savings</v>
          </cell>
          <cell r="G809" t="str">
            <v>7 Years</v>
          </cell>
          <cell r="I809" t="str">
            <v>Male</v>
          </cell>
          <cell r="N809" t="str">
            <v>Own</v>
          </cell>
          <cell r="P809" t="str">
            <v>Skilled</v>
          </cell>
          <cell r="S809" t="str">
            <v>Yes</v>
          </cell>
        </row>
        <row r="810">
          <cell r="C810" t="str">
            <v>All Paid</v>
          </cell>
          <cell r="D810" t="str">
            <v>Used Car</v>
          </cell>
          <cell r="E810">
            <v>1021130</v>
          </cell>
          <cell r="F810" t="str">
            <v>Less than 10000</v>
          </cell>
          <cell r="G810" t="str">
            <v>Unemployed</v>
          </cell>
          <cell r="I810" t="str">
            <v>Male</v>
          </cell>
          <cell r="N810" t="str">
            <v>For Free</v>
          </cell>
          <cell r="P810" t="str">
            <v>High Qualif/Self Emp/Mgmt</v>
          </cell>
          <cell r="S810" t="str">
            <v>Yes</v>
          </cell>
        </row>
        <row r="811">
          <cell r="C811" t="str">
            <v>No Credits/All Paid</v>
          </cell>
          <cell r="D811" t="str">
            <v>New Car</v>
          </cell>
          <cell r="E811">
            <v>195580</v>
          </cell>
          <cell r="F811" t="str">
            <v>Less than 10000</v>
          </cell>
          <cell r="G811" t="str">
            <v>Below 1Years</v>
          </cell>
          <cell r="I811" t="str">
            <v>Female</v>
          </cell>
          <cell r="N811" t="str">
            <v>Rent</v>
          </cell>
          <cell r="P811" t="str">
            <v>Unemp/Unskilled Non Res</v>
          </cell>
          <cell r="S811" t="str">
            <v>Yes</v>
          </cell>
        </row>
        <row r="812">
          <cell r="C812" t="str">
            <v>Existing Paid</v>
          </cell>
          <cell r="D812" t="str">
            <v>Business</v>
          </cell>
          <cell r="E812">
            <v>99770</v>
          </cell>
          <cell r="F812" t="str">
            <v>Less than 10000</v>
          </cell>
          <cell r="G812" t="str">
            <v>Below 1Years</v>
          </cell>
          <cell r="I812" t="str">
            <v>Male</v>
          </cell>
          <cell r="N812" t="str">
            <v>Own</v>
          </cell>
          <cell r="P812" t="str">
            <v>Skilled</v>
          </cell>
          <cell r="S812" t="str">
            <v>Yes</v>
          </cell>
        </row>
        <row r="813">
          <cell r="C813" t="str">
            <v>Existing Paid</v>
          </cell>
          <cell r="D813" t="str">
            <v>Radio/Tv</v>
          </cell>
          <cell r="E813">
            <v>53240</v>
          </cell>
          <cell r="F813" t="str">
            <v>Less than 10000</v>
          </cell>
          <cell r="G813" t="str">
            <v>4-6 Years</v>
          </cell>
          <cell r="I813" t="str">
            <v>Male</v>
          </cell>
          <cell r="N813" t="str">
            <v>Own</v>
          </cell>
          <cell r="P813" t="str">
            <v>Unskilled Resident</v>
          </cell>
          <cell r="S813" t="str">
            <v>Yes</v>
          </cell>
        </row>
        <row r="814">
          <cell r="C814" t="str">
            <v>Critical/Other Existing Credit</v>
          </cell>
          <cell r="D814" t="str">
            <v>Used Car</v>
          </cell>
          <cell r="E814">
            <v>1059190</v>
          </cell>
          <cell r="F814" t="str">
            <v>Less than 10000</v>
          </cell>
          <cell r="G814" t="str">
            <v>4-6 Years</v>
          </cell>
          <cell r="I814" t="str">
            <v>Male</v>
          </cell>
          <cell r="N814" t="str">
            <v>Own</v>
          </cell>
          <cell r="P814" t="str">
            <v>Skilled</v>
          </cell>
          <cell r="S814" t="str">
            <v>Yes</v>
          </cell>
        </row>
        <row r="815">
          <cell r="C815" t="str">
            <v>Existing Paid</v>
          </cell>
          <cell r="D815" t="str">
            <v>Domestic Appliance</v>
          </cell>
          <cell r="E815">
            <v>335610</v>
          </cell>
          <cell r="F815" t="str">
            <v>Less than 10000</v>
          </cell>
          <cell r="G815" t="str">
            <v>1-4 Years</v>
          </cell>
          <cell r="I815" t="str">
            <v>Male</v>
          </cell>
          <cell r="N815" t="str">
            <v>Own</v>
          </cell>
          <cell r="P815" t="str">
            <v>Skilled</v>
          </cell>
          <cell r="S815" t="str">
            <v>Yes</v>
          </cell>
        </row>
        <row r="816">
          <cell r="C816" t="str">
            <v>Existing Paid</v>
          </cell>
          <cell r="D816" t="str">
            <v>New Car</v>
          </cell>
          <cell r="E816">
            <v>432410</v>
          </cell>
          <cell r="F816" t="str">
            <v>Less than 10000</v>
          </cell>
          <cell r="G816" t="str">
            <v>4-6 Years</v>
          </cell>
          <cell r="I816" t="str">
            <v>Male</v>
          </cell>
          <cell r="N816" t="str">
            <v>For Free</v>
          </cell>
          <cell r="P816" t="str">
            <v>Skilled</v>
          </cell>
          <cell r="S816" t="str">
            <v>Yes</v>
          </cell>
        </row>
        <row r="817">
          <cell r="C817" t="str">
            <v>Delayed Previously</v>
          </cell>
          <cell r="D817" t="str">
            <v>New Car</v>
          </cell>
          <cell r="E817">
            <v>817520</v>
          </cell>
          <cell r="F817" t="str">
            <v>Less than 10000</v>
          </cell>
          <cell r="G817" t="str">
            <v>1-4 Years</v>
          </cell>
          <cell r="I817" t="str">
            <v>Female</v>
          </cell>
          <cell r="N817" t="str">
            <v>Rent</v>
          </cell>
          <cell r="P817" t="str">
            <v>Skilled</v>
          </cell>
          <cell r="S817" t="str">
            <v>Yes</v>
          </cell>
        </row>
        <row r="818">
          <cell r="C818" t="str">
            <v>Existing Paid</v>
          </cell>
          <cell r="D818" t="str">
            <v>Domestic Appliance</v>
          </cell>
          <cell r="E818">
            <v>147180</v>
          </cell>
          <cell r="F818" t="str">
            <v>50000 - 99999</v>
          </cell>
          <cell r="G818" t="str">
            <v>1-4 Years</v>
          </cell>
          <cell r="I818" t="str">
            <v>Male</v>
          </cell>
          <cell r="N818" t="str">
            <v>Own</v>
          </cell>
          <cell r="P818" t="str">
            <v>Skilled</v>
          </cell>
          <cell r="S818" t="str">
            <v>Yes</v>
          </cell>
        </row>
        <row r="819">
          <cell r="C819" t="str">
            <v>Critical/Other Existing Credit</v>
          </cell>
          <cell r="D819" t="str">
            <v>Radio/Tv</v>
          </cell>
          <cell r="E819">
            <v>170940</v>
          </cell>
          <cell r="F819" t="str">
            <v>Less than 10000</v>
          </cell>
          <cell r="G819" t="str">
            <v>4-6 Years</v>
          </cell>
          <cell r="I819" t="str">
            <v>Female</v>
          </cell>
          <cell r="N819" t="str">
            <v>Rent</v>
          </cell>
          <cell r="P819" t="str">
            <v>Skilled</v>
          </cell>
          <cell r="S819" t="str">
            <v>Yes</v>
          </cell>
        </row>
        <row r="820">
          <cell r="C820" t="str">
            <v>Existing Paid</v>
          </cell>
          <cell r="D820" t="str">
            <v>Other</v>
          </cell>
          <cell r="E820">
            <v>1744270</v>
          </cell>
          <cell r="F820" t="str">
            <v>Less than 10000</v>
          </cell>
          <cell r="G820" t="str">
            <v>Unemployed</v>
          </cell>
          <cell r="I820" t="str">
            <v>Male</v>
          </cell>
          <cell r="N820" t="str">
            <v>Own</v>
          </cell>
          <cell r="P820" t="str">
            <v>High Qualif/Self Emp/Mgmt</v>
          </cell>
          <cell r="S820" t="str">
            <v>Yes</v>
          </cell>
        </row>
        <row r="821">
          <cell r="C821" t="str">
            <v>Existing Paid</v>
          </cell>
          <cell r="D821" t="str">
            <v>Radio/Tv</v>
          </cell>
          <cell r="E821">
            <v>147950</v>
          </cell>
          <cell r="F821" t="str">
            <v>Less than 10000</v>
          </cell>
          <cell r="G821" t="str">
            <v>1-4 Years</v>
          </cell>
          <cell r="I821" t="str">
            <v>Male</v>
          </cell>
          <cell r="N821" t="str">
            <v>Own</v>
          </cell>
          <cell r="P821" t="str">
            <v>Skilled</v>
          </cell>
          <cell r="S821" t="str">
            <v>Yes</v>
          </cell>
        </row>
        <row r="822">
          <cell r="C822" t="str">
            <v>Existing Paid</v>
          </cell>
          <cell r="D822" t="str">
            <v>New Car</v>
          </cell>
          <cell r="E822">
            <v>121110</v>
          </cell>
          <cell r="F822" t="str">
            <v>Less than 10000</v>
          </cell>
          <cell r="G822" t="str">
            <v>1-4 Years</v>
          </cell>
          <cell r="I822" t="str">
            <v>Male</v>
          </cell>
          <cell r="N822" t="str">
            <v>Own</v>
          </cell>
          <cell r="P822" t="str">
            <v>Skilled</v>
          </cell>
          <cell r="S822" t="str">
            <v>Yes</v>
          </cell>
        </row>
        <row r="823">
          <cell r="C823" t="str">
            <v>Existing Paid</v>
          </cell>
          <cell r="D823" t="str">
            <v>Radio/Tv</v>
          </cell>
          <cell r="E823">
            <v>331760</v>
          </cell>
          <cell r="F823" t="str">
            <v>Less than 10000</v>
          </cell>
          <cell r="G823" t="str">
            <v>1-4 Years</v>
          </cell>
          <cell r="I823" t="str">
            <v>Male</v>
          </cell>
          <cell r="N823" t="str">
            <v>Own</v>
          </cell>
          <cell r="P823" t="str">
            <v>Skilled</v>
          </cell>
          <cell r="S823" t="str">
            <v>Yes</v>
          </cell>
        </row>
        <row r="824">
          <cell r="C824" t="str">
            <v>Existing Paid</v>
          </cell>
          <cell r="D824" t="str">
            <v>Furniture/Equipment</v>
          </cell>
          <cell r="E824">
            <v>298320</v>
          </cell>
          <cell r="F824" t="str">
            <v>Less than 10000</v>
          </cell>
          <cell r="G824" t="str">
            <v>7 Years</v>
          </cell>
          <cell r="I824" t="str">
            <v>Male</v>
          </cell>
          <cell r="N824" t="str">
            <v>Own</v>
          </cell>
          <cell r="P824" t="str">
            <v>Skilled</v>
          </cell>
          <cell r="S824" t="str">
            <v>Yes</v>
          </cell>
        </row>
        <row r="825">
          <cell r="C825" t="str">
            <v>Critical/Other Existing Credit</v>
          </cell>
          <cell r="D825" t="str">
            <v>New Car</v>
          </cell>
          <cell r="E825">
            <v>80410</v>
          </cell>
          <cell r="F825" t="str">
            <v>Less than 10000</v>
          </cell>
          <cell r="G825" t="str">
            <v>7 Years</v>
          </cell>
          <cell r="I825" t="str">
            <v>Male</v>
          </cell>
          <cell r="N825" t="str">
            <v>Own</v>
          </cell>
          <cell r="P825" t="str">
            <v>Unskilled Resident</v>
          </cell>
          <cell r="S825" t="str">
            <v>Yes</v>
          </cell>
        </row>
        <row r="826">
          <cell r="C826" t="str">
            <v>Critical/Other Existing Credit</v>
          </cell>
          <cell r="D826" t="str">
            <v>Furniture/Equipment</v>
          </cell>
          <cell r="E826">
            <v>415800</v>
          </cell>
          <cell r="F826" t="str">
            <v>Less than 10000</v>
          </cell>
          <cell r="G826" t="str">
            <v>Below 1Years</v>
          </cell>
          <cell r="I826" t="str">
            <v>Male</v>
          </cell>
          <cell r="N826" t="str">
            <v>Own</v>
          </cell>
          <cell r="P826" t="str">
            <v>High Qualif/Self Emp/Mgmt</v>
          </cell>
          <cell r="S826" t="str">
            <v>Yes</v>
          </cell>
        </row>
        <row r="827">
          <cell r="C827" t="str">
            <v>Critical/Other Existing Credit</v>
          </cell>
          <cell r="D827" t="str">
            <v>New Car</v>
          </cell>
          <cell r="E827">
            <v>176220</v>
          </cell>
          <cell r="F827" t="str">
            <v>Less than 10000</v>
          </cell>
          <cell r="G827" t="str">
            <v>7 Years</v>
          </cell>
          <cell r="I827" t="str">
            <v>Male</v>
          </cell>
          <cell r="N827" t="str">
            <v>Own</v>
          </cell>
          <cell r="P827" t="str">
            <v>Skilled</v>
          </cell>
          <cell r="S827" t="str">
            <v>Yes</v>
          </cell>
        </row>
        <row r="828">
          <cell r="C828" t="str">
            <v>Critical/Other Existing Credit</v>
          </cell>
          <cell r="D828" t="str">
            <v>New Car</v>
          </cell>
          <cell r="E828">
            <v>436260</v>
          </cell>
          <cell r="F828" t="str">
            <v>Less than 10000</v>
          </cell>
          <cell r="G828" t="str">
            <v>7 Years</v>
          </cell>
          <cell r="I828" t="str">
            <v>Female</v>
          </cell>
          <cell r="N828" t="str">
            <v>Rent</v>
          </cell>
          <cell r="P828" t="str">
            <v>Skilled</v>
          </cell>
          <cell r="S828" t="str">
            <v>Yes</v>
          </cell>
        </row>
        <row r="829">
          <cell r="C829" t="str">
            <v>No Credits/All Paid</v>
          </cell>
          <cell r="D829" t="str">
            <v>Business</v>
          </cell>
          <cell r="E829">
            <v>458150</v>
          </cell>
          <cell r="F829" t="str">
            <v>Less than 10000</v>
          </cell>
          <cell r="G829" t="str">
            <v>1-4 Years</v>
          </cell>
          <cell r="I829" t="str">
            <v>Male</v>
          </cell>
          <cell r="N829" t="str">
            <v>Own</v>
          </cell>
          <cell r="P829" t="str">
            <v>Skilled</v>
          </cell>
          <cell r="S829" t="str">
            <v>Yes</v>
          </cell>
        </row>
        <row r="830">
          <cell r="C830" t="str">
            <v>Existing Paid</v>
          </cell>
          <cell r="D830" t="str">
            <v>Used Car</v>
          </cell>
          <cell r="E830">
            <v>916850</v>
          </cell>
          <cell r="F830" t="str">
            <v>No Savings</v>
          </cell>
          <cell r="G830" t="str">
            <v>7 Years</v>
          </cell>
          <cell r="I830" t="str">
            <v>Male</v>
          </cell>
          <cell r="N830" t="str">
            <v>For Free</v>
          </cell>
          <cell r="P830" t="str">
            <v>Skilled</v>
          </cell>
          <cell r="S830" t="str">
            <v>Yes</v>
          </cell>
        </row>
        <row r="831">
          <cell r="C831" t="str">
            <v>Delayed Previously</v>
          </cell>
          <cell r="D831" t="str">
            <v>Business</v>
          </cell>
          <cell r="E831">
            <v>734910</v>
          </cell>
          <cell r="F831" t="str">
            <v>No Savings</v>
          </cell>
          <cell r="G831" t="str">
            <v>1-4 Years</v>
          </cell>
          <cell r="I831" t="str">
            <v>Male</v>
          </cell>
          <cell r="N831" t="str">
            <v>For Free</v>
          </cell>
          <cell r="P831" t="str">
            <v>Skilled</v>
          </cell>
          <cell r="S831" t="str">
            <v>Yes</v>
          </cell>
        </row>
        <row r="832">
          <cell r="C832" t="str">
            <v>Delayed Previously</v>
          </cell>
          <cell r="D832" t="str">
            <v>Business</v>
          </cell>
          <cell r="E832">
            <v>261250</v>
          </cell>
          <cell r="F832" t="str">
            <v>50000 - 99999</v>
          </cell>
          <cell r="G832" t="str">
            <v>1-4 Years</v>
          </cell>
          <cell r="I832" t="str">
            <v>Male</v>
          </cell>
          <cell r="N832" t="str">
            <v>Own</v>
          </cell>
          <cell r="P832" t="str">
            <v>Skilled</v>
          </cell>
          <cell r="S832" t="str">
            <v>Yes</v>
          </cell>
        </row>
        <row r="833">
          <cell r="C833" t="str">
            <v>Existing Paid</v>
          </cell>
          <cell r="D833" t="str">
            <v>New Car</v>
          </cell>
          <cell r="E833">
            <v>133760</v>
          </cell>
          <cell r="F833" t="str">
            <v>Less than 10000</v>
          </cell>
          <cell r="G833" t="str">
            <v>Below 1Years</v>
          </cell>
          <cell r="I833" t="str">
            <v>Female</v>
          </cell>
          <cell r="N833" t="str">
            <v>Rent</v>
          </cell>
          <cell r="P833" t="str">
            <v>Skilled</v>
          </cell>
          <cell r="S833" t="str">
            <v>Yes</v>
          </cell>
        </row>
        <row r="834">
          <cell r="C834" t="str">
            <v>No Credits/All Paid</v>
          </cell>
          <cell r="D834" t="str">
            <v>Business</v>
          </cell>
          <cell r="E834">
            <v>1299760</v>
          </cell>
          <cell r="F834" t="str">
            <v>Less than 10000</v>
          </cell>
          <cell r="G834" t="str">
            <v>7 Years</v>
          </cell>
          <cell r="I834" t="str">
            <v>Male</v>
          </cell>
          <cell r="N834" t="str">
            <v>Rent</v>
          </cell>
          <cell r="P834" t="str">
            <v>Skilled</v>
          </cell>
          <cell r="S834" t="str">
            <v>Yes</v>
          </cell>
        </row>
        <row r="835">
          <cell r="C835" t="str">
            <v>Existing Paid</v>
          </cell>
          <cell r="D835" t="str">
            <v>Radio/Tv</v>
          </cell>
          <cell r="E835">
            <v>559240</v>
          </cell>
          <cell r="F835" t="str">
            <v>No Savings</v>
          </cell>
          <cell r="G835" t="str">
            <v>7 Years</v>
          </cell>
          <cell r="I835" t="str">
            <v>Female</v>
          </cell>
          <cell r="N835" t="str">
            <v>Own</v>
          </cell>
          <cell r="P835" t="str">
            <v>Skilled</v>
          </cell>
          <cell r="S835" t="str">
            <v>Yes</v>
          </cell>
        </row>
        <row r="836">
          <cell r="C836" t="str">
            <v>Existing Paid</v>
          </cell>
          <cell r="D836" t="str">
            <v>Radio/Tv</v>
          </cell>
          <cell r="E836">
            <v>255970</v>
          </cell>
          <cell r="F836" t="str">
            <v>Less than 10000</v>
          </cell>
          <cell r="G836" t="str">
            <v>Below 1Years</v>
          </cell>
          <cell r="I836" t="str">
            <v>Female</v>
          </cell>
          <cell r="N836" t="str">
            <v>Own</v>
          </cell>
          <cell r="P836" t="str">
            <v>Unskilled Resident</v>
          </cell>
          <cell r="S836" t="str">
            <v>Yes</v>
          </cell>
        </row>
        <row r="837">
          <cell r="C837" t="str">
            <v>No Credits/All Paid</v>
          </cell>
          <cell r="D837" t="str">
            <v>New Car</v>
          </cell>
          <cell r="E837">
            <v>119020</v>
          </cell>
          <cell r="F837" t="str">
            <v>Less than 10000</v>
          </cell>
          <cell r="G837" t="str">
            <v>1-4 Years</v>
          </cell>
          <cell r="I837" t="str">
            <v>Male</v>
          </cell>
          <cell r="N837" t="str">
            <v>Own</v>
          </cell>
          <cell r="P837" t="str">
            <v>Skilled</v>
          </cell>
          <cell r="S837" t="str">
            <v>Yes</v>
          </cell>
        </row>
        <row r="838">
          <cell r="C838" t="str">
            <v>Existing Paid</v>
          </cell>
          <cell r="D838" t="str">
            <v>Radio/Tv</v>
          </cell>
          <cell r="E838">
            <v>97460</v>
          </cell>
          <cell r="F838" t="str">
            <v>No Savings</v>
          </cell>
          <cell r="G838" t="str">
            <v>1-4 Years</v>
          </cell>
          <cell r="I838" t="str">
            <v>Female</v>
          </cell>
          <cell r="N838" t="str">
            <v>Own</v>
          </cell>
          <cell r="P838" t="str">
            <v>Skilled</v>
          </cell>
          <cell r="S838" t="str">
            <v>Yes</v>
          </cell>
        </row>
        <row r="839">
          <cell r="C839" t="str">
            <v>Existing Paid</v>
          </cell>
          <cell r="D839" t="str">
            <v>Furniture/Equipment</v>
          </cell>
          <cell r="E839">
            <v>66110</v>
          </cell>
          <cell r="F839" t="str">
            <v>Less than 10000</v>
          </cell>
          <cell r="G839" t="str">
            <v>Below 1Years</v>
          </cell>
          <cell r="I839" t="str">
            <v>Female</v>
          </cell>
          <cell r="N839" t="str">
            <v>Rent</v>
          </cell>
          <cell r="P839" t="str">
            <v>Unskilled Resident</v>
          </cell>
          <cell r="S839" t="str">
            <v>Yes</v>
          </cell>
        </row>
        <row r="840">
          <cell r="C840" t="str">
            <v>Critical/Other Existing Credit</v>
          </cell>
          <cell r="D840" t="str">
            <v>Used Car</v>
          </cell>
          <cell r="E840">
            <v>325270</v>
          </cell>
          <cell r="F840" t="str">
            <v>Less than 10000</v>
          </cell>
          <cell r="G840" t="str">
            <v>7 Years</v>
          </cell>
          <cell r="I840" t="str">
            <v>Male</v>
          </cell>
          <cell r="N840" t="str">
            <v>Own</v>
          </cell>
          <cell r="P840" t="str">
            <v>Skilled</v>
          </cell>
          <cell r="S840" t="str">
            <v>Yes</v>
          </cell>
        </row>
        <row r="841">
          <cell r="C841" t="str">
            <v>Critical/Other Existing Credit</v>
          </cell>
          <cell r="D841" t="str">
            <v>Radio/Tv</v>
          </cell>
          <cell r="E841">
            <v>287210</v>
          </cell>
          <cell r="F841" t="str">
            <v>Less than 10000</v>
          </cell>
          <cell r="G841" t="str">
            <v>7 Years</v>
          </cell>
          <cell r="I841" t="str">
            <v>Male</v>
          </cell>
          <cell r="N841" t="str">
            <v>Own</v>
          </cell>
          <cell r="P841" t="str">
            <v>Skilled</v>
          </cell>
          <cell r="S841" t="str">
            <v>Yes</v>
          </cell>
        </row>
        <row r="842">
          <cell r="C842" t="str">
            <v>Existing Paid</v>
          </cell>
          <cell r="D842" t="str">
            <v>Furniture/Equipment</v>
          </cell>
          <cell r="E842">
            <v>569690</v>
          </cell>
          <cell r="F842" t="str">
            <v>Less than 10000</v>
          </cell>
          <cell r="G842" t="str">
            <v>4-6 Years</v>
          </cell>
          <cell r="I842" t="str">
            <v>Male</v>
          </cell>
          <cell r="N842" t="str">
            <v>Own</v>
          </cell>
          <cell r="P842" t="str">
            <v>Skilled</v>
          </cell>
          <cell r="S842" t="str">
            <v>Yes</v>
          </cell>
        </row>
        <row r="843">
          <cell r="C843" t="str">
            <v>Delayed Previously</v>
          </cell>
          <cell r="D843" t="str">
            <v>Used Car</v>
          </cell>
          <cell r="E843">
            <v>329230</v>
          </cell>
          <cell r="F843" t="str">
            <v>Less than 10000</v>
          </cell>
          <cell r="G843" t="str">
            <v>1-4 Years</v>
          </cell>
          <cell r="I843" t="str">
            <v>Male</v>
          </cell>
          <cell r="N843" t="str">
            <v>Own</v>
          </cell>
          <cell r="P843" t="str">
            <v>Unskilled Resident</v>
          </cell>
          <cell r="S843" t="str">
            <v>Yes</v>
          </cell>
        </row>
        <row r="844">
          <cell r="C844" t="str">
            <v>Existing Paid</v>
          </cell>
          <cell r="D844" t="str">
            <v>Repairs</v>
          </cell>
          <cell r="E844">
            <v>213730</v>
          </cell>
          <cell r="F844" t="str">
            <v>Less than 10000</v>
          </cell>
          <cell r="G844" t="str">
            <v>Below 1Years</v>
          </cell>
          <cell r="I844" t="str">
            <v>Female</v>
          </cell>
          <cell r="N844" t="str">
            <v>Own</v>
          </cell>
          <cell r="P844" t="str">
            <v>Skilled</v>
          </cell>
          <cell r="S844" t="str">
            <v>Yes</v>
          </cell>
        </row>
        <row r="845">
          <cell r="C845" t="str">
            <v>All Paid</v>
          </cell>
          <cell r="D845" t="str">
            <v>Business</v>
          </cell>
          <cell r="E845">
            <v>171490</v>
          </cell>
          <cell r="F845" t="str">
            <v>Less than 10000</v>
          </cell>
          <cell r="G845" t="str">
            <v>4-6 Years</v>
          </cell>
          <cell r="I845" t="str">
            <v>Male</v>
          </cell>
          <cell r="N845" t="str">
            <v>Own</v>
          </cell>
          <cell r="P845" t="str">
            <v>Skilled</v>
          </cell>
          <cell r="S845" t="str">
            <v>Yes</v>
          </cell>
        </row>
        <row r="846">
          <cell r="C846" t="str">
            <v>Existing Paid</v>
          </cell>
          <cell r="D846" t="str">
            <v>Furniture/Equipment</v>
          </cell>
          <cell r="E846">
            <v>376420</v>
          </cell>
          <cell r="F846" t="str">
            <v>Less than 10000</v>
          </cell>
          <cell r="G846" t="str">
            <v>7 Years</v>
          </cell>
          <cell r="I846" t="str">
            <v>Male</v>
          </cell>
          <cell r="N846" t="str">
            <v>Own</v>
          </cell>
          <cell r="P846" t="str">
            <v>Skilled</v>
          </cell>
          <cell r="S846" t="str">
            <v>Yes</v>
          </cell>
        </row>
        <row r="847">
          <cell r="C847" t="str">
            <v>Existing Paid</v>
          </cell>
          <cell r="D847" t="str">
            <v>Furniture/Equipment</v>
          </cell>
          <cell r="E847">
            <v>437360</v>
          </cell>
          <cell r="F847" t="str">
            <v>No Savings</v>
          </cell>
          <cell r="G847" t="str">
            <v>4-6 Years</v>
          </cell>
          <cell r="I847" t="str">
            <v>Male</v>
          </cell>
          <cell r="N847" t="str">
            <v>Own</v>
          </cell>
          <cell r="P847" t="str">
            <v>Skilled</v>
          </cell>
          <cell r="S847" t="str">
            <v>Yes</v>
          </cell>
        </row>
        <row r="848">
          <cell r="C848" t="str">
            <v>Existing Paid</v>
          </cell>
          <cell r="D848" t="str">
            <v>New Car</v>
          </cell>
          <cell r="E848">
            <v>743710</v>
          </cell>
          <cell r="F848" t="str">
            <v>No Savings</v>
          </cell>
          <cell r="G848" t="str">
            <v>1-4 Years</v>
          </cell>
          <cell r="I848" t="str">
            <v>Male</v>
          </cell>
          <cell r="N848" t="str">
            <v>Rent</v>
          </cell>
          <cell r="P848" t="str">
            <v>Skilled</v>
          </cell>
          <cell r="S848" t="str">
            <v>Yes</v>
          </cell>
        </row>
        <row r="849">
          <cell r="C849" t="str">
            <v>Existing Paid</v>
          </cell>
          <cell r="D849" t="str">
            <v>New Car</v>
          </cell>
          <cell r="E849">
            <v>137390</v>
          </cell>
          <cell r="F849" t="str">
            <v>Less than 10000</v>
          </cell>
          <cell r="G849" t="str">
            <v>Below 1Years</v>
          </cell>
          <cell r="I849" t="str">
            <v>Male</v>
          </cell>
          <cell r="N849" t="str">
            <v>Own</v>
          </cell>
          <cell r="P849" t="str">
            <v>Skilled</v>
          </cell>
          <cell r="S849" t="str">
            <v>Yes</v>
          </cell>
        </row>
        <row r="850">
          <cell r="C850" t="str">
            <v>Existing Paid</v>
          </cell>
          <cell r="D850" t="str">
            <v>Radio/Tv</v>
          </cell>
          <cell r="E850">
            <v>150040</v>
          </cell>
          <cell r="F850" t="str">
            <v>Less than 10000</v>
          </cell>
          <cell r="G850" t="str">
            <v>4-6 Years</v>
          </cell>
          <cell r="I850" t="str">
            <v>Male</v>
          </cell>
          <cell r="N850" t="str">
            <v>Own</v>
          </cell>
          <cell r="P850" t="str">
            <v>Skilled</v>
          </cell>
          <cell r="S850" t="str">
            <v>Yes</v>
          </cell>
        </row>
        <row r="851">
          <cell r="C851" t="str">
            <v>Existing Paid</v>
          </cell>
          <cell r="D851" t="str">
            <v>Radio/Tv</v>
          </cell>
          <cell r="E851">
            <v>77990</v>
          </cell>
          <cell r="F851" t="str">
            <v>Less than 10000</v>
          </cell>
          <cell r="G851" t="str">
            <v>7 Years</v>
          </cell>
          <cell r="I851" t="str">
            <v>Male</v>
          </cell>
          <cell r="N851" t="str">
            <v>Own</v>
          </cell>
          <cell r="P851" t="str">
            <v>Unskilled Resident</v>
          </cell>
          <cell r="S851" t="str">
            <v>Yes</v>
          </cell>
        </row>
        <row r="852">
          <cell r="C852" t="str">
            <v>Critical/Other Existing Credit</v>
          </cell>
          <cell r="D852" t="str">
            <v>New Car</v>
          </cell>
          <cell r="E852">
            <v>245850</v>
          </cell>
          <cell r="F852" t="str">
            <v>Less than 10000</v>
          </cell>
          <cell r="G852" t="str">
            <v>1-4 Years</v>
          </cell>
          <cell r="I852" t="str">
            <v>Male</v>
          </cell>
          <cell r="N852" t="str">
            <v>Rent</v>
          </cell>
          <cell r="P852" t="str">
            <v>Skilled</v>
          </cell>
          <cell r="S852" t="str">
            <v>No</v>
          </cell>
        </row>
        <row r="853">
          <cell r="C853" t="str">
            <v>Critical/Other Existing Credit</v>
          </cell>
          <cell r="D853" t="str">
            <v>Used Car</v>
          </cell>
          <cell r="E853">
            <v>444620</v>
          </cell>
          <cell r="F853" t="str">
            <v>No Savings</v>
          </cell>
          <cell r="G853" t="str">
            <v>4-6 Years</v>
          </cell>
          <cell r="I853" t="str">
            <v>Male</v>
          </cell>
          <cell r="N853" t="str">
            <v>Own</v>
          </cell>
          <cell r="P853" t="str">
            <v>Skilled</v>
          </cell>
          <cell r="S853" t="str">
            <v>Yes</v>
          </cell>
        </row>
        <row r="854">
          <cell r="C854" t="str">
            <v>Critical/Other Existing Credit</v>
          </cell>
          <cell r="D854" t="str">
            <v>Radio/Tv</v>
          </cell>
          <cell r="E854">
            <v>161810</v>
          </cell>
          <cell r="F854" t="str">
            <v>Less than 10000</v>
          </cell>
          <cell r="G854" t="str">
            <v>1-4 Years</v>
          </cell>
          <cell r="I854" t="str">
            <v>Male</v>
          </cell>
          <cell r="N854" t="str">
            <v>For Free</v>
          </cell>
          <cell r="P854" t="str">
            <v>Skilled</v>
          </cell>
          <cell r="S854" t="str">
            <v>Yes</v>
          </cell>
        </row>
        <row r="855">
          <cell r="C855" t="str">
            <v>All Paid</v>
          </cell>
          <cell r="D855" t="str">
            <v>New Car</v>
          </cell>
          <cell r="E855">
            <v>158620</v>
          </cell>
          <cell r="F855" t="str">
            <v>Less than 10000</v>
          </cell>
          <cell r="G855" t="str">
            <v>4-6 Years</v>
          </cell>
          <cell r="I855" t="str">
            <v>Male</v>
          </cell>
          <cell r="N855" t="str">
            <v>For Free</v>
          </cell>
          <cell r="P855" t="str">
            <v>Unskilled Resident</v>
          </cell>
          <cell r="S855" t="str">
            <v>Yes</v>
          </cell>
        </row>
        <row r="856">
          <cell r="C856" t="str">
            <v>Delayed Previously</v>
          </cell>
          <cell r="D856" t="str">
            <v>New Car</v>
          </cell>
          <cell r="E856">
            <v>1196250</v>
          </cell>
          <cell r="F856" t="str">
            <v>Less than 10000</v>
          </cell>
          <cell r="G856" t="str">
            <v>7 Years</v>
          </cell>
          <cell r="I856" t="str">
            <v>Male</v>
          </cell>
          <cell r="N856" t="str">
            <v>Own</v>
          </cell>
          <cell r="P856" t="str">
            <v>Skilled</v>
          </cell>
          <cell r="S856" t="str">
            <v>Yes</v>
          </cell>
        </row>
        <row r="857">
          <cell r="C857" t="str">
            <v>Existing Paid</v>
          </cell>
          <cell r="D857" t="str">
            <v>New Car</v>
          </cell>
          <cell r="E857">
            <v>162140</v>
          </cell>
          <cell r="F857" t="str">
            <v>10000 - 49999</v>
          </cell>
          <cell r="G857" t="str">
            <v>Below 1Years</v>
          </cell>
          <cell r="I857" t="str">
            <v>Male</v>
          </cell>
          <cell r="N857" t="str">
            <v>Own</v>
          </cell>
          <cell r="P857" t="str">
            <v>Skilled</v>
          </cell>
          <cell r="S857" t="str">
            <v>Yes</v>
          </cell>
        </row>
        <row r="858">
          <cell r="C858" t="str">
            <v>Existing Paid</v>
          </cell>
          <cell r="D858" t="str">
            <v>Retraining</v>
          </cell>
          <cell r="E858">
            <v>98340</v>
          </cell>
          <cell r="F858" t="str">
            <v>No Savings</v>
          </cell>
          <cell r="G858" t="str">
            <v>4-6 Years</v>
          </cell>
          <cell r="I858" t="str">
            <v>Female</v>
          </cell>
          <cell r="N858" t="str">
            <v>Own</v>
          </cell>
          <cell r="P858" t="str">
            <v>Skilled</v>
          </cell>
          <cell r="S858" t="str">
            <v>Yes</v>
          </cell>
        </row>
        <row r="859">
          <cell r="C859" t="str">
            <v>Critical/Other Existing Credit</v>
          </cell>
          <cell r="D859" t="str">
            <v>Furniture/Equipment</v>
          </cell>
          <cell r="E859">
            <v>367730</v>
          </cell>
          <cell r="F859" t="str">
            <v>Less than 10000</v>
          </cell>
          <cell r="G859" t="str">
            <v>1-4 Years</v>
          </cell>
          <cell r="I859" t="str">
            <v>Male</v>
          </cell>
          <cell r="N859" t="str">
            <v>For Free</v>
          </cell>
          <cell r="P859" t="str">
            <v>Skilled</v>
          </cell>
          <cell r="S859" t="str">
            <v>Yes</v>
          </cell>
        </row>
        <row r="860">
          <cell r="C860" t="str">
            <v>Existing Paid</v>
          </cell>
          <cell r="D860" t="str">
            <v>New Car</v>
          </cell>
          <cell r="E860">
            <v>435490</v>
          </cell>
          <cell r="F860" t="str">
            <v>Less than 10000</v>
          </cell>
          <cell r="G860" t="str">
            <v>1-4 Years</v>
          </cell>
          <cell r="I860" t="str">
            <v>Female</v>
          </cell>
          <cell r="N860" t="str">
            <v>Own</v>
          </cell>
          <cell r="P860" t="str">
            <v>Skilled</v>
          </cell>
          <cell r="S860" t="str">
            <v>Yes</v>
          </cell>
        </row>
        <row r="861">
          <cell r="C861" t="str">
            <v>Existing Paid</v>
          </cell>
          <cell r="D861" t="str">
            <v>New Car</v>
          </cell>
          <cell r="E861">
            <v>393470</v>
          </cell>
          <cell r="F861" t="str">
            <v>10000 - 49999</v>
          </cell>
          <cell r="G861" t="str">
            <v>1-4 Years</v>
          </cell>
          <cell r="I861" t="str">
            <v>Male</v>
          </cell>
          <cell r="N861" t="str">
            <v>Rent</v>
          </cell>
          <cell r="P861" t="str">
            <v>Skilled</v>
          </cell>
          <cell r="S861" t="str">
            <v>No</v>
          </cell>
        </row>
        <row r="862">
          <cell r="C862" t="str">
            <v>Critical/Other Existing Credit</v>
          </cell>
          <cell r="D862" t="str">
            <v>Used Car</v>
          </cell>
          <cell r="E862">
            <v>638440</v>
          </cell>
          <cell r="F862" t="str">
            <v>1,00000 or Above</v>
          </cell>
          <cell r="G862" t="str">
            <v>1-4 Years</v>
          </cell>
          <cell r="I862" t="str">
            <v>Male</v>
          </cell>
          <cell r="N862" t="str">
            <v>Own</v>
          </cell>
          <cell r="P862" t="str">
            <v>Skilled</v>
          </cell>
          <cell r="S862" t="str">
            <v>Yes</v>
          </cell>
        </row>
        <row r="863">
          <cell r="C863" t="str">
            <v>Delayed Previously</v>
          </cell>
          <cell r="D863" t="str">
            <v>Business</v>
          </cell>
          <cell r="E863">
            <v>238590</v>
          </cell>
          <cell r="F863" t="str">
            <v>Less than 10000</v>
          </cell>
          <cell r="G863" t="str">
            <v>1-4 Years</v>
          </cell>
          <cell r="I863" t="str">
            <v>Male</v>
          </cell>
          <cell r="N863" t="str">
            <v>Own</v>
          </cell>
          <cell r="P863" t="str">
            <v>Skilled</v>
          </cell>
          <cell r="S863" t="str">
            <v>Yes</v>
          </cell>
        </row>
        <row r="864">
          <cell r="C864" t="str">
            <v>Existing Paid</v>
          </cell>
          <cell r="D864" t="str">
            <v>Radio/Tv</v>
          </cell>
          <cell r="E864">
            <v>268290</v>
          </cell>
          <cell r="F864" t="str">
            <v>Less than 10000</v>
          </cell>
          <cell r="G864" t="str">
            <v>Below 1Years</v>
          </cell>
          <cell r="I864" t="str">
            <v>Female</v>
          </cell>
          <cell r="N864" t="str">
            <v>Own</v>
          </cell>
          <cell r="P864" t="str">
            <v>Skilled</v>
          </cell>
          <cell r="S864" t="str">
            <v>Yes</v>
          </cell>
        </row>
        <row r="865">
          <cell r="C865" t="str">
            <v>Critical/Other Existing Credit</v>
          </cell>
          <cell r="D865" t="str">
            <v>Furniture/Equipment</v>
          </cell>
          <cell r="E865">
            <v>497860</v>
          </cell>
          <cell r="F865" t="str">
            <v>1,00000 or Above</v>
          </cell>
          <cell r="G865" t="str">
            <v>Below 1Years</v>
          </cell>
          <cell r="I865" t="str">
            <v>Male</v>
          </cell>
          <cell r="N865" t="str">
            <v>Own</v>
          </cell>
          <cell r="P865" t="str">
            <v>Unskilled Resident</v>
          </cell>
          <cell r="S865" t="str">
            <v>Yes</v>
          </cell>
        </row>
        <row r="866">
          <cell r="C866" t="str">
            <v>Existing Paid</v>
          </cell>
          <cell r="D866" t="str">
            <v>Furniture/Equipment</v>
          </cell>
          <cell r="E866">
            <v>243100</v>
          </cell>
          <cell r="F866" t="str">
            <v>Less than 10000</v>
          </cell>
          <cell r="G866" t="str">
            <v>1-4 Years</v>
          </cell>
          <cell r="I866" t="str">
            <v>Male</v>
          </cell>
          <cell r="N866" t="str">
            <v>Rent</v>
          </cell>
          <cell r="P866" t="str">
            <v>Unskilled Resident</v>
          </cell>
          <cell r="S866" t="str">
            <v>Yes</v>
          </cell>
        </row>
        <row r="867">
          <cell r="C867" t="str">
            <v>Existing Paid</v>
          </cell>
          <cell r="D867" t="str">
            <v>Furniture/Equipment</v>
          </cell>
          <cell r="E867">
            <v>244310</v>
          </cell>
          <cell r="F867" t="str">
            <v>50000 - 99999</v>
          </cell>
          <cell r="G867" t="str">
            <v>1-4 Years</v>
          </cell>
          <cell r="I867" t="str">
            <v>Female</v>
          </cell>
          <cell r="N867" t="str">
            <v>Rent</v>
          </cell>
          <cell r="P867" t="str">
            <v>Skilled</v>
          </cell>
          <cell r="S867" t="str">
            <v>Yes</v>
          </cell>
        </row>
        <row r="868">
          <cell r="C868" t="str">
            <v>Existing Paid</v>
          </cell>
          <cell r="D868" t="str">
            <v>Radio/Tv</v>
          </cell>
          <cell r="E868">
            <v>262790</v>
          </cell>
          <cell r="F868" t="str">
            <v>Less than 10000</v>
          </cell>
          <cell r="G868" t="str">
            <v>Below 1Years</v>
          </cell>
          <cell r="I868" t="str">
            <v>Female</v>
          </cell>
          <cell r="N868" t="str">
            <v>Own</v>
          </cell>
          <cell r="P868" t="str">
            <v>Skilled</v>
          </cell>
          <cell r="S868" t="str">
            <v>Yes</v>
          </cell>
        </row>
        <row r="869">
          <cell r="C869" t="str">
            <v>Critical/Other Existing Credit</v>
          </cell>
          <cell r="D869" t="str">
            <v>Furniture/Equipment</v>
          </cell>
          <cell r="E869">
            <v>366410</v>
          </cell>
          <cell r="F869" t="str">
            <v>Less than 10000</v>
          </cell>
          <cell r="G869" t="str">
            <v>7 Years</v>
          </cell>
          <cell r="I869" t="str">
            <v>Male</v>
          </cell>
          <cell r="N869" t="str">
            <v>Own</v>
          </cell>
          <cell r="P869" t="str">
            <v>Skilled</v>
          </cell>
          <cell r="S869" t="str">
            <v>Yes</v>
          </cell>
        </row>
        <row r="870">
          <cell r="C870" t="str">
            <v>Existing Paid</v>
          </cell>
          <cell r="D870" t="str">
            <v>Business</v>
          </cell>
          <cell r="E870">
            <v>814990</v>
          </cell>
          <cell r="F870" t="str">
            <v>No Savings</v>
          </cell>
          <cell r="G870" t="str">
            <v>7 Years</v>
          </cell>
          <cell r="I870" t="str">
            <v>Male</v>
          </cell>
          <cell r="N870" t="str">
            <v>Own</v>
          </cell>
          <cell r="P870" t="str">
            <v>Skilled</v>
          </cell>
          <cell r="S870" t="str">
            <v>Yes</v>
          </cell>
        </row>
        <row r="871">
          <cell r="C871" t="str">
            <v>Existing Paid</v>
          </cell>
          <cell r="D871" t="str">
            <v>Furniture/Equipment</v>
          </cell>
          <cell r="E871">
            <v>71720</v>
          </cell>
          <cell r="F871" t="str">
            <v>Less than 10000</v>
          </cell>
          <cell r="G871" t="str">
            <v>7 Years</v>
          </cell>
          <cell r="I871" t="str">
            <v>Female</v>
          </cell>
          <cell r="N871" t="str">
            <v>Rent</v>
          </cell>
          <cell r="P871" t="str">
            <v>Skilled</v>
          </cell>
          <cell r="S871" t="str">
            <v>Yes</v>
          </cell>
        </row>
        <row r="872">
          <cell r="C872" t="str">
            <v>Delayed Previously</v>
          </cell>
          <cell r="D872" t="str">
            <v>Furniture/Equipment</v>
          </cell>
          <cell r="E872">
            <v>844580</v>
          </cell>
          <cell r="F872" t="str">
            <v>50000 - 99999</v>
          </cell>
          <cell r="G872" t="str">
            <v>4-6 Years</v>
          </cell>
          <cell r="I872" t="str">
            <v>Female</v>
          </cell>
          <cell r="N872" t="str">
            <v>Own</v>
          </cell>
          <cell r="P872" t="str">
            <v>Skilled</v>
          </cell>
          <cell r="S872" t="str">
            <v>Yes</v>
          </cell>
        </row>
        <row r="873">
          <cell r="C873" t="str">
            <v>Critical/Other Existing Credit</v>
          </cell>
          <cell r="D873" t="str">
            <v>New Car</v>
          </cell>
          <cell r="E873">
            <v>147730</v>
          </cell>
          <cell r="F873" t="str">
            <v>Less than 10000</v>
          </cell>
          <cell r="G873" t="str">
            <v>7 Years</v>
          </cell>
          <cell r="I873" t="str">
            <v>Male</v>
          </cell>
          <cell r="N873" t="str">
            <v>Own</v>
          </cell>
          <cell r="P873" t="str">
            <v>Skilled</v>
          </cell>
          <cell r="S873" t="str">
            <v>No</v>
          </cell>
        </row>
        <row r="874">
          <cell r="C874" t="str">
            <v>Critical/Other Existing Credit</v>
          </cell>
          <cell r="D874" t="str">
            <v>Business</v>
          </cell>
          <cell r="E874">
            <v>152020</v>
          </cell>
          <cell r="F874" t="str">
            <v>10000 - 49999</v>
          </cell>
          <cell r="G874" t="str">
            <v>4-6 Years</v>
          </cell>
          <cell r="I874" t="str">
            <v>Male</v>
          </cell>
          <cell r="N874" t="str">
            <v>Own</v>
          </cell>
          <cell r="P874" t="str">
            <v>Skilled</v>
          </cell>
          <cell r="S874" t="str">
            <v>Yes</v>
          </cell>
        </row>
        <row r="875">
          <cell r="C875" t="str">
            <v>Existing Paid</v>
          </cell>
          <cell r="D875" t="str">
            <v>Domestic Appliance</v>
          </cell>
          <cell r="E875">
            <v>96140</v>
          </cell>
          <cell r="F875" t="str">
            <v>No Savings</v>
          </cell>
          <cell r="G875" t="str">
            <v>Below 1Years</v>
          </cell>
          <cell r="I875" t="str">
            <v>Female</v>
          </cell>
          <cell r="N875" t="str">
            <v>Own</v>
          </cell>
          <cell r="P875" t="str">
            <v>Skilled</v>
          </cell>
          <cell r="S875" t="str">
            <v>Yes</v>
          </cell>
        </row>
        <row r="876">
          <cell r="C876" t="str">
            <v>Existing Paid</v>
          </cell>
          <cell r="D876" t="str">
            <v>Furniture/Equipment</v>
          </cell>
          <cell r="E876">
            <v>394900</v>
          </cell>
          <cell r="F876" t="str">
            <v>Less than 10000</v>
          </cell>
          <cell r="G876" t="str">
            <v>1-4 Years</v>
          </cell>
          <cell r="I876" t="str">
            <v>Male</v>
          </cell>
          <cell r="N876" t="str">
            <v>Own</v>
          </cell>
          <cell r="P876" t="str">
            <v>Unskilled Resident</v>
          </cell>
          <cell r="S876" t="str">
            <v>Yes</v>
          </cell>
        </row>
        <row r="877">
          <cell r="C877" t="str">
            <v>Critical/Other Existing Credit</v>
          </cell>
          <cell r="D877" t="str">
            <v>New Car</v>
          </cell>
          <cell r="E877">
            <v>145420</v>
          </cell>
          <cell r="F877" t="str">
            <v>1,00000 or Above</v>
          </cell>
          <cell r="G877" t="str">
            <v>1-4 Years</v>
          </cell>
          <cell r="I877" t="str">
            <v>Female</v>
          </cell>
          <cell r="N877" t="str">
            <v>Own</v>
          </cell>
          <cell r="P877" t="str">
            <v>Skilled</v>
          </cell>
          <cell r="S877" t="str">
            <v>Yes</v>
          </cell>
        </row>
        <row r="878">
          <cell r="C878" t="str">
            <v>All Paid</v>
          </cell>
          <cell r="D878" t="str">
            <v>Radio/Tv</v>
          </cell>
          <cell r="E878">
            <v>213400</v>
          </cell>
          <cell r="F878" t="str">
            <v>Less than 10000</v>
          </cell>
          <cell r="G878" t="str">
            <v>Below 1Years</v>
          </cell>
          <cell r="I878" t="str">
            <v>Male</v>
          </cell>
          <cell r="N878" t="str">
            <v>For Free</v>
          </cell>
          <cell r="P878" t="str">
            <v>High Qualif/Self Emp/Mgmt</v>
          </cell>
          <cell r="S878" t="str">
            <v>Yes</v>
          </cell>
        </row>
        <row r="879">
          <cell r="C879" t="str">
            <v>Existing Paid</v>
          </cell>
          <cell r="D879" t="str">
            <v>Radio/Tv</v>
          </cell>
          <cell r="E879">
            <v>395450</v>
          </cell>
          <cell r="F879" t="str">
            <v>Less than 10000</v>
          </cell>
          <cell r="G879" t="str">
            <v>7 Years</v>
          </cell>
          <cell r="I879" t="str">
            <v>Male</v>
          </cell>
          <cell r="N879" t="str">
            <v>Own</v>
          </cell>
          <cell r="P879" t="str">
            <v>Skilled</v>
          </cell>
          <cell r="S879" t="str">
            <v>Yes</v>
          </cell>
        </row>
        <row r="880">
          <cell r="C880" t="str">
            <v>Existing Paid</v>
          </cell>
          <cell r="D880" t="str">
            <v>New Car</v>
          </cell>
          <cell r="E880">
            <v>156420</v>
          </cell>
          <cell r="F880" t="str">
            <v>Less than 10000</v>
          </cell>
          <cell r="G880" t="str">
            <v>Below 1Years</v>
          </cell>
          <cell r="I880" t="str">
            <v>Male</v>
          </cell>
          <cell r="N880" t="str">
            <v>For Free</v>
          </cell>
          <cell r="P880" t="str">
            <v>High Qualif/Self Emp/Mgmt</v>
          </cell>
          <cell r="S880" t="str">
            <v>Yes</v>
          </cell>
        </row>
        <row r="881">
          <cell r="C881" t="str">
            <v>Critical/Other Existing Credit</v>
          </cell>
          <cell r="D881" t="str">
            <v>Radio/Tv</v>
          </cell>
          <cell r="E881">
            <v>741620</v>
          </cell>
          <cell r="F881" t="str">
            <v>No Savings</v>
          </cell>
          <cell r="G881" t="str">
            <v>4-6 Years</v>
          </cell>
          <cell r="I881" t="str">
            <v>Male</v>
          </cell>
          <cell r="N881" t="str">
            <v>Own</v>
          </cell>
          <cell r="P881" t="str">
            <v>Skilled</v>
          </cell>
          <cell r="S881" t="str">
            <v>Yes</v>
          </cell>
        </row>
        <row r="882">
          <cell r="C882" t="str">
            <v>Existing Paid</v>
          </cell>
          <cell r="D882" t="str">
            <v>Used Car</v>
          </cell>
          <cell r="E882">
            <v>859540</v>
          </cell>
          <cell r="F882" t="str">
            <v>Less than 10000</v>
          </cell>
          <cell r="G882" t="str">
            <v>4-6 Years</v>
          </cell>
          <cell r="I882" t="str">
            <v>Male</v>
          </cell>
          <cell r="N882" t="str">
            <v>Own</v>
          </cell>
          <cell r="P882" t="str">
            <v>High Qualif/Self Emp/Mgmt</v>
          </cell>
          <cell r="S882" t="str">
            <v>Yes</v>
          </cell>
        </row>
        <row r="883">
          <cell r="C883" t="str">
            <v>Existing Paid</v>
          </cell>
          <cell r="D883" t="str">
            <v>Used Car</v>
          </cell>
          <cell r="E883">
            <v>1020470</v>
          </cell>
          <cell r="F883" t="str">
            <v>No Savings</v>
          </cell>
          <cell r="G883" t="str">
            <v>1-4 Years</v>
          </cell>
          <cell r="I883" t="str">
            <v>Male</v>
          </cell>
          <cell r="N883" t="str">
            <v>For Free</v>
          </cell>
          <cell r="P883" t="str">
            <v>Skilled</v>
          </cell>
          <cell r="S883" t="str">
            <v>Yes</v>
          </cell>
        </row>
        <row r="884">
          <cell r="C884" t="str">
            <v>Critical/Other Existing Credit</v>
          </cell>
          <cell r="D884" t="str">
            <v>New Car</v>
          </cell>
          <cell r="E884">
            <v>239910</v>
          </cell>
          <cell r="F884" t="str">
            <v>No Savings</v>
          </cell>
          <cell r="G884" t="str">
            <v>7 Years</v>
          </cell>
          <cell r="I884" t="str">
            <v>Male</v>
          </cell>
          <cell r="N884" t="str">
            <v>Own</v>
          </cell>
          <cell r="P884" t="str">
            <v>Skilled</v>
          </cell>
          <cell r="S884" t="str">
            <v>Yes</v>
          </cell>
        </row>
        <row r="885">
          <cell r="C885" t="str">
            <v>Critical/Other Existing Credit</v>
          </cell>
          <cell r="D885" t="str">
            <v>Radio/Tv</v>
          </cell>
          <cell r="E885">
            <v>120780</v>
          </cell>
          <cell r="F885" t="str">
            <v>Less than 10000</v>
          </cell>
          <cell r="G885" t="str">
            <v>Unemployed</v>
          </cell>
          <cell r="I885" t="str">
            <v>Female</v>
          </cell>
          <cell r="N885" t="str">
            <v>Own</v>
          </cell>
          <cell r="P885" t="str">
            <v>Unemp/Unskilled Non Res</v>
          </cell>
          <cell r="S885" t="str">
            <v>Yes</v>
          </cell>
        </row>
        <row r="886">
          <cell r="C886" t="str">
            <v>Existing Paid</v>
          </cell>
          <cell r="D886" t="str">
            <v>Furniture/Equipment</v>
          </cell>
          <cell r="E886">
            <v>446270</v>
          </cell>
          <cell r="F886" t="str">
            <v>Less than 10000</v>
          </cell>
          <cell r="G886" t="str">
            <v>4-6 Years</v>
          </cell>
          <cell r="I886" t="str">
            <v>Male</v>
          </cell>
          <cell r="N886" t="str">
            <v>Own</v>
          </cell>
          <cell r="P886" t="str">
            <v>Skilled</v>
          </cell>
          <cell r="S886" t="str">
            <v>Yes</v>
          </cell>
        </row>
        <row r="887">
          <cell r="C887" t="str">
            <v>Existing Paid</v>
          </cell>
          <cell r="D887" t="str">
            <v>Education</v>
          </cell>
          <cell r="E887">
            <v>87450</v>
          </cell>
          <cell r="F887" t="str">
            <v>Less than 10000</v>
          </cell>
          <cell r="G887" t="str">
            <v>Below 1Years</v>
          </cell>
          <cell r="I887" t="str">
            <v>Female</v>
          </cell>
          <cell r="N887" t="str">
            <v>Own</v>
          </cell>
          <cell r="P887" t="str">
            <v>Skilled</v>
          </cell>
          <cell r="S887" t="str">
            <v>Yes</v>
          </cell>
        </row>
        <row r="888">
          <cell r="C888" t="str">
            <v>Critical/Other Existing Credit</v>
          </cell>
          <cell r="D888" t="str">
            <v>Business</v>
          </cell>
          <cell r="E888">
            <v>310750</v>
          </cell>
          <cell r="F888" t="str">
            <v>No Savings</v>
          </cell>
          <cell r="G888" t="str">
            <v>4-6 Years</v>
          </cell>
          <cell r="I888" t="str">
            <v>Male</v>
          </cell>
          <cell r="N888" t="str">
            <v>Own</v>
          </cell>
          <cell r="P888" t="str">
            <v>Skilled</v>
          </cell>
          <cell r="S888" t="str">
            <v>Yes</v>
          </cell>
        </row>
        <row r="889">
          <cell r="C889" t="str">
            <v>Existing Paid</v>
          </cell>
          <cell r="D889" t="str">
            <v>Business</v>
          </cell>
          <cell r="E889">
            <v>1723920</v>
          </cell>
          <cell r="F889" t="str">
            <v>Less than 10000</v>
          </cell>
          <cell r="G889" t="str">
            <v>1-4 Years</v>
          </cell>
          <cell r="I889" t="str">
            <v>Male</v>
          </cell>
          <cell r="N889" t="str">
            <v>Own</v>
          </cell>
          <cell r="P889" t="str">
            <v>Skilled</v>
          </cell>
          <cell r="S889" t="str">
            <v>Yes</v>
          </cell>
        </row>
        <row r="890">
          <cell r="C890" t="str">
            <v>Critical/Other Existing Credit</v>
          </cell>
          <cell r="D890" t="str">
            <v>New Car</v>
          </cell>
          <cell r="E890">
            <v>727540</v>
          </cell>
          <cell r="F890" t="str">
            <v>Less than 10000</v>
          </cell>
          <cell r="G890" t="str">
            <v>7 Years</v>
          </cell>
          <cell r="I890" t="str">
            <v>Male</v>
          </cell>
          <cell r="N890" t="str">
            <v>Own</v>
          </cell>
          <cell r="P890" t="str">
            <v>High Qualif/Self Emp/Mgmt</v>
          </cell>
          <cell r="S890" t="str">
            <v>Yes</v>
          </cell>
        </row>
        <row r="891">
          <cell r="C891" t="str">
            <v>All Paid</v>
          </cell>
          <cell r="D891" t="str">
            <v>Used Car</v>
          </cell>
          <cell r="E891">
            <v>860640</v>
          </cell>
          <cell r="F891" t="str">
            <v>No Savings</v>
          </cell>
          <cell r="G891" t="str">
            <v>Below 1Years</v>
          </cell>
          <cell r="I891" t="str">
            <v>Male</v>
          </cell>
          <cell r="N891" t="str">
            <v>Rent</v>
          </cell>
          <cell r="P891" t="str">
            <v>Skilled</v>
          </cell>
          <cell r="S891" t="str">
            <v>Yes</v>
          </cell>
        </row>
        <row r="892">
          <cell r="C892" t="str">
            <v>Critical/Other Existing Credit</v>
          </cell>
          <cell r="D892" t="str">
            <v>Business</v>
          </cell>
          <cell r="E892">
            <v>268620</v>
          </cell>
          <cell r="F892" t="str">
            <v>Less than 10000</v>
          </cell>
          <cell r="G892" t="str">
            <v>7 Years</v>
          </cell>
          <cell r="I892" t="str">
            <v>Male</v>
          </cell>
          <cell r="N892" t="str">
            <v>Own</v>
          </cell>
          <cell r="P892" t="str">
            <v>High Qualif/Self Emp/Mgmt</v>
          </cell>
          <cell r="S892" t="str">
            <v>Yes</v>
          </cell>
        </row>
        <row r="893">
          <cell r="C893" t="str">
            <v>Critical/Other Existing Credit</v>
          </cell>
          <cell r="D893" t="str">
            <v>Radio/Tv</v>
          </cell>
          <cell r="E893">
            <v>201190</v>
          </cell>
          <cell r="F893" t="str">
            <v>Less than 10000</v>
          </cell>
          <cell r="G893" t="str">
            <v>7 Years</v>
          </cell>
          <cell r="I893" t="str">
            <v>Male</v>
          </cell>
          <cell r="N893" t="str">
            <v>Own</v>
          </cell>
          <cell r="P893" t="str">
            <v>Skilled</v>
          </cell>
          <cell r="S893" t="str">
            <v>Yes</v>
          </cell>
        </row>
        <row r="894">
          <cell r="C894" t="str">
            <v>Critical/Other Existing Credit</v>
          </cell>
          <cell r="D894" t="str">
            <v>New Car</v>
          </cell>
          <cell r="E894">
            <v>238810</v>
          </cell>
          <cell r="F894" t="str">
            <v>Less than 10000</v>
          </cell>
          <cell r="G894" t="str">
            <v>1-4 Years</v>
          </cell>
          <cell r="I894" t="str">
            <v>Male</v>
          </cell>
          <cell r="N894" t="str">
            <v>Own</v>
          </cell>
          <cell r="P894" t="str">
            <v>Unskilled Resident</v>
          </cell>
          <cell r="S894" t="str">
            <v>No</v>
          </cell>
        </row>
        <row r="895">
          <cell r="C895" t="str">
            <v>Critical/Other Existing Credit</v>
          </cell>
          <cell r="D895" t="str">
            <v>Used Car</v>
          </cell>
          <cell r="E895">
            <v>638000</v>
          </cell>
          <cell r="F895" t="str">
            <v>Less than 10000</v>
          </cell>
          <cell r="G895" t="str">
            <v>1-4 Years</v>
          </cell>
          <cell r="I895" t="str">
            <v>Male</v>
          </cell>
          <cell r="N895" t="str">
            <v>Own</v>
          </cell>
          <cell r="P895" t="str">
            <v>Skilled</v>
          </cell>
          <cell r="S895" t="str">
            <v>Yes</v>
          </cell>
        </row>
        <row r="896">
          <cell r="C896" t="str">
            <v>Critical/Other Existing Credit</v>
          </cell>
          <cell r="D896" t="str">
            <v>Radio/Tv</v>
          </cell>
          <cell r="E896">
            <v>128590</v>
          </cell>
          <cell r="F896" t="str">
            <v>No Savings</v>
          </cell>
          <cell r="G896" t="str">
            <v>1-4 Years</v>
          </cell>
          <cell r="I896" t="str">
            <v>Male</v>
          </cell>
          <cell r="N896" t="str">
            <v>Own</v>
          </cell>
          <cell r="P896" t="str">
            <v>Skilled</v>
          </cell>
          <cell r="S896" t="str">
            <v>Yes</v>
          </cell>
        </row>
        <row r="897">
          <cell r="C897" t="str">
            <v>Delayed Previously</v>
          </cell>
          <cell r="D897" t="str">
            <v>Used Car</v>
          </cell>
          <cell r="E897">
            <v>984170</v>
          </cell>
          <cell r="F897" t="str">
            <v>No Savings</v>
          </cell>
          <cell r="G897" t="str">
            <v>4-6 Years</v>
          </cell>
          <cell r="I897" t="str">
            <v>Male</v>
          </cell>
          <cell r="N897" t="str">
            <v>Own</v>
          </cell>
          <cell r="P897" t="str">
            <v>High Qualif/Self Emp/Mgmt</v>
          </cell>
          <cell r="S897" t="str">
            <v>Yes</v>
          </cell>
        </row>
        <row r="898">
          <cell r="C898" t="str">
            <v>Existing Paid</v>
          </cell>
          <cell r="D898" t="str">
            <v>Radio/Tv</v>
          </cell>
          <cell r="E898">
            <v>286660</v>
          </cell>
          <cell r="F898" t="str">
            <v>Less than 10000</v>
          </cell>
          <cell r="G898" t="str">
            <v>Below 1Years</v>
          </cell>
          <cell r="I898" t="str">
            <v>Female</v>
          </cell>
          <cell r="N898" t="str">
            <v>Rent</v>
          </cell>
          <cell r="P898" t="str">
            <v>High Qualif/Self Emp/Mgmt</v>
          </cell>
          <cell r="S898" t="str">
            <v>Yes</v>
          </cell>
        </row>
        <row r="899">
          <cell r="C899" t="str">
            <v>Critical/Other Existing Credit</v>
          </cell>
          <cell r="D899" t="str">
            <v>Furniture/Equipment</v>
          </cell>
          <cell r="E899">
            <v>175120</v>
          </cell>
          <cell r="F899" t="str">
            <v>1,00000 or Above</v>
          </cell>
          <cell r="G899" t="str">
            <v>4-6 Years</v>
          </cell>
          <cell r="I899" t="str">
            <v>Female</v>
          </cell>
          <cell r="N899" t="str">
            <v>Own</v>
          </cell>
          <cell r="P899" t="str">
            <v>Skilled</v>
          </cell>
          <cell r="S899" t="str">
            <v>No</v>
          </cell>
        </row>
        <row r="900">
          <cell r="C900" t="str">
            <v>Existing Paid</v>
          </cell>
          <cell r="D900" t="str">
            <v>Furniture/Equipment</v>
          </cell>
          <cell r="E900">
            <v>240460</v>
          </cell>
          <cell r="F900" t="str">
            <v>No Savings</v>
          </cell>
          <cell r="G900" t="str">
            <v>4-6 Years</v>
          </cell>
          <cell r="I900" t="str">
            <v>Female</v>
          </cell>
          <cell r="N900" t="str">
            <v>Rent</v>
          </cell>
          <cell r="P900" t="str">
            <v>Unskilled Resident</v>
          </cell>
          <cell r="S900" t="str">
            <v>Yes</v>
          </cell>
        </row>
        <row r="901">
          <cell r="C901" t="str">
            <v>Existing Paid</v>
          </cell>
          <cell r="D901" t="str">
            <v>Furniture/Equipment</v>
          </cell>
          <cell r="E901">
            <v>456830</v>
          </cell>
          <cell r="F901" t="str">
            <v>Less than 10000</v>
          </cell>
          <cell r="G901" t="str">
            <v>1-4 Years</v>
          </cell>
          <cell r="I901" t="str">
            <v>Male</v>
          </cell>
          <cell r="N901" t="str">
            <v>Own</v>
          </cell>
          <cell r="P901" t="str">
            <v>Skilled</v>
          </cell>
          <cell r="S901" t="str">
            <v>Yes</v>
          </cell>
        </row>
        <row r="902">
          <cell r="C902" t="str">
            <v>Critical/Other Existing Credit</v>
          </cell>
          <cell r="D902" t="str">
            <v>New Car</v>
          </cell>
          <cell r="E902">
            <v>288750</v>
          </cell>
          <cell r="F902" t="str">
            <v>Less than 10000</v>
          </cell>
          <cell r="G902" t="str">
            <v>7 Years</v>
          </cell>
          <cell r="I902" t="str">
            <v>Male</v>
          </cell>
          <cell r="N902" t="str">
            <v>Rent</v>
          </cell>
          <cell r="P902" t="str">
            <v>Skilled</v>
          </cell>
          <cell r="S902" t="str">
            <v>Yes</v>
          </cell>
        </row>
        <row r="903">
          <cell r="C903" t="str">
            <v>Critical/Other Existing Credit</v>
          </cell>
          <cell r="D903" t="str">
            <v>New Car</v>
          </cell>
          <cell r="E903">
            <v>383350</v>
          </cell>
          <cell r="F903" t="str">
            <v>No Savings</v>
          </cell>
          <cell r="G903" t="str">
            <v>Below 1Years</v>
          </cell>
          <cell r="I903" t="str">
            <v>Male</v>
          </cell>
          <cell r="N903" t="str">
            <v>Own</v>
          </cell>
          <cell r="P903" t="str">
            <v>Skilled</v>
          </cell>
          <cell r="S903" t="str">
            <v>Yes</v>
          </cell>
        </row>
        <row r="904">
          <cell r="C904" t="str">
            <v>Critical/Other Existing Credit</v>
          </cell>
          <cell r="D904" t="str">
            <v>Used Car</v>
          </cell>
          <cell r="E904">
            <v>1152470</v>
          </cell>
          <cell r="F904" t="str">
            <v>No Savings</v>
          </cell>
          <cell r="G904" t="str">
            <v>7 Years</v>
          </cell>
          <cell r="I904" t="str">
            <v>Male</v>
          </cell>
          <cell r="N904" t="str">
            <v>For Free</v>
          </cell>
          <cell r="P904" t="str">
            <v>Skilled</v>
          </cell>
          <cell r="S904" t="str">
            <v>Yes</v>
          </cell>
        </row>
        <row r="905">
          <cell r="C905" t="str">
            <v>Existing Paid</v>
          </cell>
          <cell r="D905" t="str">
            <v>Radio/Tv</v>
          </cell>
          <cell r="E905">
            <v>152460</v>
          </cell>
          <cell r="F905" t="str">
            <v>No Savings</v>
          </cell>
          <cell r="G905" t="str">
            <v>1-4 Years</v>
          </cell>
          <cell r="I905" t="str">
            <v>Male</v>
          </cell>
          <cell r="N905" t="str">
            <v>Rent</v>
          </cell>
          <cell r="P905" t="str">
            <v>Skilled</v>
          </cell>
          <cell r="S905" t="str">
            <v>Yes</v>
          </cell>
        </row>
        <row r="906">
          <cell r="C906" t="str">
            <v>Existing Paid</v>
          </cell>
          <cell r="D906" t="str">
            <v>Radio/Tv</v>
          </cell>
          <cell r="E906">
            <v>140580</v>
          </cell>
          <cell r="F906" t="str">
            <v>Less than 10000</v>
          </cell>
          <cell r="G906" t="str">
            <v>7 Years</v>
          </cell>
          <cell r="I906" t="str">
            <v>Male</v>
          </cell>
          <cell r="N906" t="str">
            <v>Own</v>
          </cell>
          <cell r="P906" t="str">
            <v>High Qualif/Self Emp/Mgmt</v>
          </cell>
          <cell r="S906" t="str">
            <v>Yes</v>
          </cell>
        </row>
        <row r="907">
          <cell r="C907" t="str">
            <v>Existing Paid</v>
          </cell>
          <cell r="D907" t="str">
            <v>Radio/Tv</v>
          </cell>
          <cell r="E907">
            <v>121770</v>
          </cell>
          <cell r="F907" t="str">
            <v>Less than 10000</v>
          </cell>
          <cell r="G907" t="str">
            <v>1-4 Years</v>
          </cell>
          <cell r="I907" t="str">
            <v>Male</v>
          </cell>
          <cell r="N907" t="str">
            <v>Rent</v>
          </cell>
          <cell r="P907" t="str">
            <v>High Qualif/Self Emp/Mgmt</v>
          </cell>
          <cell r="S907" t="str">
            <v>Yes</v>
          </cell>
        </row>
        <row r="908">
          <cell r="C908" t="str">
            <v>Existing Paid</v>
          </cell>
          <cell r="D908" t="str">
            <v>New Car</v>
          </cell>
          <cell r="E908">
            <v>413930</v>
          </cell>
          <cell r="F908" t="str">
            <v>No Savings</v>
          </cell>
          <cell r="G908" t="str">
            <v>4-6 Years</v>
          </cell>
          <cell r="I908" t="str">
            <v>Male</v>
          </cell>
          <cell r="N908" t="str">
            <v>Own</v>
          </cell>
          <cell r="P908" t="str">
            <v>Unskilled Resident</v>
          </cell>
          <cell r="S908" t="str">
            <v>No</v>
          </cell>
        </row>
        <row r="909">
          <cell r="C909" t="str">
            <v>Existing Paid</v>
          </cell>
          <cell r="D909" t="str">
            <v>Education</v>
          </cell>
          <cell r="E909">
            <v>408210</v>
          </cell>
          <cell r="F909" t="str">
            <v>No Savings</v>
          </cell>
          <cell r="G909" t="str">
            <v>1-4 Years</v>
          </cell>
          <cell r="I909" t="str">
            <v>Male</v>
          </cell>
          <cell r="N909" t="str">
            <v>Own</v>
          </cell>
          <cell r="P909" t="str">
            <v>Skilled</v>
          </cell>
          <cell r="S909" t="str">
            <v>Yes</v>
          </cell>
        </row>
        <row r="910">
          <cell r="C910" t="str">
            <v>Delayed Previously</v>
          </cell>
          <cell r="D910" t="str">
            <v>Used Car</v>
          </cell>
          <cell r="E910">
            <v>395340</v>
          </cell>
          <cell r="F910" t="str">
            <v>Less than 10000</v>
          </cell>
          <cell r="G910" t="str">
            <v>Below 1Years</v>
          </cell>
          <cell r="I910" t="str">
            <v>Female</v>
          </cell>
          <cell r="N910" t="str">
            <v>Own</v>
          </cell>
          <cell r="P910" t="str">
            <v>Unskilled Resident</v>
          </cell>
          <cell r="S910" t="str">
            <v>Yes</v>
          </cell>
        </row>
        <row r="911">
          <cell r="C911" t="str">
            <v>Existing Paid</v>
          </cell>
          <cell r="D911" t="str">
            <v>New Car</v>
          </cell>
          <cell r="E911">
            <v>351450</v>
          </cell>
          <cell r="F911" t="str">
            <v>No Savings</v>
          </cell>
          <cell r="G911" t="str">
            <v>1-4 Years</v>
          </cell>
          <cell r="I911" t="str">
            <v>Female</v>
          </cell>
          <cell r="N911" t="str">
            <v>Own</v>
          </cell>
          <cell r="P911" t="str">
            <v>Unskilled Resident</v>
          </cell>
          <cell r="S911" t="str">
            <v>Yes</v>
          </cell>
        </row>
        <row r="912">
          <cell r="C912" t="str">
            <v>Delayed Previously</v>
          </cell>
          <cell r="D912" t="str">
            <v>Radio/Tv</v>
          </cell>
          <cell r="E912">
            <v>489940</v>
          </cell>
          <cell r="F912" t="str">
            <v>Less than 10000</v>
          </cell>
          <cell r="G912" t="str">
            <v>1-4 Years</v>
          </cell>
          <cell r="I912" t="str">
            <v>Female</v>
          </cell>
          <cell r="N912" t="str">
            <v>Own</v>
          </cell>
          <cell r="P912" t="str">
            <v>Skilled</v>
          </cell>
          <cell r="S912" t="str">
            <v>Yes</v>
          </cell>
        </row>
        <row r="913">
          <cell r="C913" t="str">
            <v>Critical/Other Existing Credit</v>
          </cell>
          <cell r="D913" t="str">
            <v>Furniture/Equipment</v>
          </cell>
          <cell r="E913">
            <v>520960</v>
          </cell>
          <cell r="F913" t="str">
            <v>Less than 10000</v>
          </cell>
          <cell r="G913" t="str">
            <v>Below 1Years</v>
          </cell>
          <cell r="I913" t="str">
            <v>Female</v>
          </cell>
          <cell r="N913" t="str">
            <v>Own</v>
          </cell>
          <cell r="P913" t="str">
            <v>Unskilled Resident</v>
          </cell>
          <cell r="S913" t="str">
            <v>Yes</v>
          </cell>
        </row>
        <row r="914">
          <cell r="C914" t="str">
            <v>Existing Paid</v>
          </cell>
          <cell r="D914" t="str">
            <v>Radio/Tv</v>
          </cell>
          <cell r="E914">
            <v>329010</v>
          </cell>
          <cell r="F914" t="str">
            <v>No Savings</v>
          </cell>
          <cell r="G914" t="str">
            <v>7 Years</v>
          </cell>
          <cell r="I914" t="str">
            <v>Female</v>
          </cell>
          <cell r="N914" t="str">
            <v>Own</v>
          </cell>
          <cell r="P914" t="str">
            <v>Skilled</v>
          </cell>
          <cell r="S914" t="str">
            <v>Yes</v>
          </cell>
        </row>
        <row r="915">
          <cell r="C915" t="str">
            <v>Existing Paid</v>
          </cell>
          <cell r="D915" t="str">
            <v>Business</v>
          </cell>
          <cell r="E915">
            <v>235620</v>
          </cell>
          <cell r="F915" t="str">
            <v>1,00000 or Above</v>
          </cell>
          <cell r="G915" t="str">
            <v>7 Years</v>
          </cell>
          <cell r="I915" t="str">
            <v>Male</v>
          </cell>
          <cell r="N915" t="str">
            <v>Own</v>
          </cell>
          <cell r="P915" t="str">
            <v>Skilled</v>
          </cell>
          <cell r="S915" t="str">
            <v>Yes</v>
          </cell>
        </row>
        <row r="916">
          <cell r="C916" t="str">
            <v>All Paid</v>
          </cell>
          <cell r="D916" t="str">
            <v>Business</v>
          </cell>
          <cell r="E916">
            <v>347710</v>
          </cell>
          <cell r="F916" t="str">
            <v>Less than 10000</v>
          </cell>
          <cell r="G916" t="str">
            <v>1-4 Years</v>
          </cell>
          <cell r="I916" t="str">
            <v>Male</v>
          </cell>
          <cell r="N916" t="str">
            <v>Rent</v>
          </cell>
          <cell r="P916" t="str">
            <v>Skilled</v>
          </cell>
          <cell r="S916" t="str">
            <v>Yes</v>
          </cell>
        </row>
        <row r="917">
          <cell r="C917" t="str">
            <v>No Credits/All Paid</v>
          </cell>
          <cell r="D917" t="str">
            <v>Other</v>
          </cell>
          <cell r="E917">
            <v>2026640</v>
          </cell>
          <cell r="F917" t="str">
            <v>Less than 10000</v>
          </cell>
          <cell r="G917" t="str">
            <v>1-4 Years</v>
          </cell>
          <cell r="I917" t="str">
            <v>Female</v>
          </cell>
          <cell r="N917" t="str">
            <v>Own</v>
          </cell>
          <cell r="P917" t="str">
            <v>High Qualif/Self Emp/Mgmt</v>
          </cell>
          <cell r="S917" t="str">
            <v>No</v>
          </cell>
        </row>
        <row r="918">
          <cell r="C918" t="str">
            <v>Existing Paid</v>
          </cell>
          <cell r="D918" t="str">
            <v>Used Car</v>
          </cell>
          <cell r="E918">
            <v>313280</v>
          </cell>
          <cell r="F918" t="str">
            <v>10000 - 49999</v>
          </cell>
          <cell r="G918" t="str">
            <v>1-4 Years</v>
          </cell>
          <cell r="I918" t="str">
            <v>Male</v>
          </cell>
          <cell r="N918" t="str">
            <v>Own</v>
          </cell>
          <cell r="P918" t="str">
            <v>Skilled</v>
          </cell>
          <cell r="S918" t="str">
            <v>Yes</v>
          </cell>
        </row>
        <row r="919">
          <cell r="C919" t="str">
            <v>Existing Paid</v>
          </cell>
          <cell r="D919" t="str">
            <v>New Car</v>
          </cell>
          <cell r="E919">
            <v>1638560</v>
          </cell>
          <cell r="F919" t="str">
            <v>Less than 10000</v>
          </cell>
          <cell r="G919" t="str">
            <v>7 Years</v>
          </cell>
          <cell r="I919" t="str">
            <v>Male</v>
          </cell>
          <cell r="N919" t="str">
            <v>Own</v>
          </cell>
          <cell r="P919" t="str">
            <v>High Qualif/Self Emp/Mgmt</v>
          </cell>
          <cell r="S919" t="str">
            <v>Yes</v>
          </cell>
        </row>
        <row r="920">
          <cell r="C920" t="str">
            <v>Existing Paid</v>
          </cell>
          <cell r="D920" t="str">
            <v>Furniture/Equipment</v>
          </cell>
          <cell r="E920">
            <v>259490</v>
          </cell>
          <cell r="F920" t="str">
            <v>10000 - 49999</v>
          </cell>
          <cell r="G920" t="str">
            <v>Unemployed</v>
          </cell>
          <cell r="I920" t="str">
            <v>Male</v>
          </cell>
          <cell r="N920" t="str">
            <v>Own</v>
          </cell>
          <cell r="P920" t="str">
            <v>Skilled</v>
          </cell>
          <cell r="S920" t="str">
            <v>Yes</v>
          </cell>
        </row>
        <row r="921">
          <cell r="C921" t="str">
            <v>Existing Paid</v>
          </cell>
          <cell r="D921" t="str">
            <v>Furniture/Equipment</v>
          </cell>
          <cell r="E921">
            <v>367950</v>
          </cell>
          <cell r="F921" t="str">
            <v>Less than 10000</v>
          </cell>
          <cell r="G921" t="str">
            <v>7 Years</v>
          </cell>
          <cell r="I921" t="str">
            <v>Male</v>
          </cell>
          <cell r="N921" t="str">
            <v>Rent</v>
          </cell>
          <cell r="P921" t="str">
            <v>High Qualif/Self Emp/Mgmt</v>
          </cell>
          <cell r="S921" t="str">
            <v>Yes</v>
          </cell>
        </row>
        <row r="922">
          <cell r="C922" t="str">
            <v>Critical/Other Existing Credit</v>
          </cell>
          <cell r="D922" t="str">
            <v>Furniture/Equipment</v>
          </cell>
          <cell r="E922">
            <v>199870</v>
          </cell>
          <cell r="F922" t="str">
            <v>Less than 10000</v>
          </cell>
          <cell r="G922" t="str">
            <v>1-4 Years</v>
          </cell>
          <cell r="I922" t="str">
            <v>Female</v>
          </cell>
          <cell r="N922" t="str">
            <v>Own</v>
          </cell>
          <cell r="P922" t="str">
            <v>Skilled</v>
          </cell>
          <cell r="S922" t="str">
            <v>Yes</v>
          </cell>
        </row>
        <row r="923">
          <cell r="C923" t="str">
            <v>Delayed Previously</v>
          </cell>
          <cell r="D923" t="str">
            <v>Radio/Tv</v>
          </cell>
          <cell r="E923">
            <v>1402390</v>
          </cell>
          <cell r="F923" t="str">
            <v>50000 - 99999</v>
          </cell>
          <cell r="G923" t="str">
            <v>4-6 Years</v>
          </cell>
          <cell r="I923" t="str">
            <v>Male</v>
          </cell>
          <cell r="N923" t="str">
            <v>Own</v>
          </cell>
          <cell r="P923" t="str">
            <v>High Qualif/Self Emp/Mgmt</v>
          </cell>
          <cell r="S923" t="str">
            <v>Yes</v>
          </cell>
        </row>
        <row r="924">
          <cell r="C924" t="str">
            <v>Existing Paid</v>
          </cell>
          <cell r="D924" t="str">
            <v>Radio/Tv</v>
          </cell>
          <cell r="E924">
            <v>150260</v>
          </cell>
          <cell r="F924" t="str">
            <v>Less than 10000</v>
          </cell>
          <cell r="G924" t="str">
            <v>Below 1Years</v>
          </cell>
          <cell r="I924" t="str">
            <v>Female</v>
          </cell>
          <cell r="N924" t="str">
            <v>Rent</v>
          </cell>
          <cell r="P924" t="str">
            <v>Skilled</v>
          </cell>
          <cell r="S924" t="str">
            <v>Yes</v>
          </cell>
        </row>
        <row r="925">
          <cell r="C925" t="str">
            <v>Existing Paid</v>
          </cell>
          <cell r="D925" t="str">
            <v>New Car</v>
          </cell>
          <cell r="E925">
            <v>220220</v>
          </cell>
          <cell r="F925" t="str">
            <v>Less than 10000</v>
          </cell>
          <cell r="G925" t="str">
            <v>4-6 Years</v>
          </cell>
          <cell r="I925" t="str">
            <v>Male</v>
          </cell>
          <cell r="N925" t="str">
            <v>Rent</v>
          </cell>
          <cell r="P925" t="str">
            <v>Skilled</v>
          </cell>
          <cell r="S925" t="str">
            <v>Yes</v>
          </cell>
        </row>
        <row r="926">
          <cell r="C926" t="str">
            <v>All Paid</v>
          </cell>
          <cell r="D926" t="str">
            <v>Furniture/Equipment</v>
          </cell>
          <cell r="E926">
            <v>755920</v>
          </cell>
          <cell r="F926" t="str">
            <v>Less than 10000</v>
          </cell>
          <cell r="G926" t="str">
            <v>Below 1Years</v>
          </cell>
          <cell r="I926" t="str">
            <v>Male</v>
          </cell>
          <cell r="N926" t="str">
            <v>Own</v>
          </cell>
          <cell r="P926" t="str">
            <v>Skilled</v>
          </cell>
          <cell r="S926" t="str">
            <v>Yes</v>
          </cell>
        </row>
        <row r="927">
          <cell r="C927" t="str">
            <v>All Paid</v>
          </cell>
          <cell r="D927" t="str">
            <v>New Car</v>
          </cell>
          <cell r="E927">
            <v>76670</v>
          </cell>
          <cell r="F927" t="str">
            <v>Less than 10000</v>
          </cell>
          <cell r="G927" t="str">
            <v>Below 1Years</v>
          </cell>
          <cell r="I927" t="str">
            <v>Male</v>
          </cell>
          <cell r="N927" t="str">
            <v>Own</v>
          </cell>
          <cell r="P927" t="str">
            <v>Skilled</v>
          </cell>
          <cell r="S927" t="str">
            <v>Yes</v>
          </cell>
        </row>
        <row r="928">
          <cell r="C928" t="str">
            <v>Critical/Other Existing Credit</v>
          </cell>
          <cell r="D928" t="str">
            <v>Furniture/Equipment</v>
          </cell>
          <cell r="E928">
            <v>115390</v>
          </cell>
          <cell r="F928" t="str">
            <v>Less than 10000</v>
          </cell>
          <cell r="G928" t="str">
            <v>Below 1Years</v>
          </cell>
          <cell r="I928" t="str">
            <v>Female</v>
          </cell>
          <cell r="N928" t="str">
            <v>Rent</v>
          </cell>
          <cell r="P928" t="str">
            <v>Skilled</v>
          </cell>
          <cell r="S928" t="str">
            <v>Yes</v>
          </cell>
        </row>
        <row r="929">
          <cell r="C929" t="str">
            <v>Existing Paid</v>
          </cell>
          <cell r="D929" t="str">
            <v>Used Car</v>
          </cell>
          <cell r="E929">
            <v>1132670</v>
          </cell>
          <cell r="F929" t="str">
            <v>Less than 10000</v>
          </cell>
          <cell r="G929" t="str">
            <v>4-6 Years</v>
          </cell>
          <cell r="I929" t="str">
            <v>Male</v>
          </cell>
          <cell r="N929" t="str">
            <v>For Free</v>
          </cell>
          <cell r="P929" t="str">
            <v>Skilled</v>
          </cell>
          <cell r="S929" t="str">
            <v>Yes</v>
          </cell>
        </row>
        <row r="930">
          <cell r="C930" t="str">
            <v>Existing Paid</v>
          </cell>
          <cell r="D930" t="str">
            <v>Radio/Tv</v>
          </cell>
          <cell r="E930">
            <v>205370</v>
          </cell>
          <cell r="F930" t="str">
            <v>No Savings</v>
          </cell>
          <cell r="G930" t="str">
            <v>7 Years</v>
          </cell>
          <cell r="I930" t="str">
            <v>Male</v>
          </cell>
          <cell r="N930" t="str">
            <v>Own</v>
          </cell>
          <cell r="P930" t="str">
            <v>Skilled</v>
          </cell>
          <cell r="S930" t="str">
            <v>Yes</v>
          </cell>
        </row>
        <row r="931">
          <cell r="C931" t="str">
            <v>Delayed Previously</v>
          </cell>
          <cell r="D931" t="str">
            <v>New Car</v>
          </cell>
          <cell r="E931">
            <v>147840</v>
          </cell>
          <cell r="F931" t="str">
            <v>Less than 10000</v>
          </cell>
          <cell r="G931" t="str">
            <v>1-4 Years</v>
          </cell>
          <cell r="I931" t="str">
            <v>Male</v>
          </cell>
          <cell r="N931" t="str">
            <v>Own</v>
          </cell>
          <cell r="P931" t="str">
            <v>Unskilled Resident</v>
          </cell>
          <cell r="S931" t="str">
            <v>Yes</v>
          </cell>
        </row>
        <row r="932">
          <cell r="C932" t="str">
            <v>Existing Paid</v>
          </cell>
          <cell r="D932" t="str">
            <v>Furniture/Equipment</v>
          </cell>
          <cell r="E932">
            <v>192170</v>
          </cell>
          <cell r="F932" t="str">
            <v>Less than 10000</v>
          </cell>
          <cell r="G932" t="str">
            <v>Below 1Years</v>
          </cell>
          <cell r="I932" t="str">
            <v>Male</v>
          </cell>
          <cell r="N932" t="str">
            <v>Own</v>
          </cell>
          <cell r="P932" t="str">
            <v>Unskilled Resident</v>
          </cell>
          <cell r="S932" t="str">
            <v>No</v>
          </cell>
        </row>
        <row r="933">
          <cell r="C933" t="str">
            <v>Existing Paid</v>
          </cell>
          <cell r="D933" t="str">
            <v>Radio/Tv</v>
          </cell>
          <cell r="E933">
            <v>183700</v>
          </cell>
          <cell r="F933" t="str">
            <v>Less than 10000</v>
          </cell>
          <cell r="G933" t="str">
            <v>Below 1Years</v>
          </cell>
          <cell r="I933" t="str">
            <v>Female</v>
          </cell>
          <cell r="N933" t="str">
            <v>Own</v>
          </cell>
          <cell r="P933" t="str">
            <v>Skilled</v>
          </cell>
          <cell r="S933" t="str">
            <v>Yes</v>
          </cell>
        </row>
        <row r="934">
          <cell r="C934" t="str">
            <v>Critical/Other Existing Credit</v>
          </cell>
          <cell r="D934" t="str">
            <v>New Car</v>
          </cell>
          <cell r="E934">
            <v>134640</v>
          </cell>
          <cell r="F934" t="str">
            <v>Less than 10000</v>
          </cell>
          <cell r="G934" t="str">
            <v>1-4 Years</v>
          </cell>
          <cell r="I934" t="str">
            <v>Male</v>
          </cell>
          <cell r="N934" t="str">
            <v>Own</v>
          </cell>
          <cell r="P934" t="str">
            <v>Skilled</v>
          </cell>
          <cell r="S934" t="str">
            <v>Yes</v>
          </cell>
        </row>
        <row r="935">
          <cell r="C935" t="str">
            <v>Critical/Other Existing Credit</v>
          </cell>
          <cell r="D935" t="str">
            <v>Radio/Tv</v>
          </cell>
          <cell r="E935">
            <v>57420</v>
          </cell>
          <cell r="F935" t="str">
            <v>50000 - 99999</v>
          </cell>
          <cell r="G935" t="str">
            <v>7 Years</v>
          </cell>
          <cell r="I935" t="str">
            <v>Male</v>
          </cell>
          <cell r="N935" t="str">
            <v>Own</v>
          </cell>
          <cell r="P935" t="str">
            <v>Skilled</v>
          </cell>
          <cell r="S935" t="str">
            <v>Yes</v>
          </cell>
        </row>
        <row r="936">
          <cell r="C936" t="str">
            <v>Existing Paid</v>
          </cell>
          <cell r="D936" t="str">
            <v>Radio/Tv</v>
          </cell>
          <cell r="E936">
            <v>164780</v>
          </cell>
          <cell r="F936" t="str">
            <v>Less than 10000</v>
          </cell>
          <cell r="G936" t="str">
            <v>1-4 Years</v>
          </cell>
          <cell r="I936" t="str">
            <v>Female</v>
          </cell>
          <cell r="N936" t="str">
            <v>Own</v>
          </cell>
          <cell r="P936" t="str">
            <v>Skilled</v>
          </cell>
          <cell r="S936" t="str">
            <v>Yes</v>
          </cell>
        </row>
        <row r="937">
          <cell r="C937" t="str">
            <v>Delayed Previously</v>
          </cell>
          <cell r="D937" t="str">
            <v>Radio/Tv</v>
          </cell>
          <cell r="E937">
            <v>211090</v>
          </cell>
          <cell r="F937" t="str">
            <v>10000 - 49999</v>
          </cell>
          <cell r="G937" t="str">
            <v>Below 1Years</v>
          </cell>
          <cell r="I937" t="str">
            <v>Male</v>
          </cell>
          <cell r="N937" t="str">
            <v>Own</v>
          </cell>
          <cell r="P937" t="str">
            <v>High Qualif/Self Emp/Mgmt</v>
          </cell>
          <cell r="S937" t="str">
            <v>Yes</v>
          </cell>
        </row>
        <row r="938">
          <cell r="C938" t="str">
            <v>Existing Paid</v>
          </cell>
          <cell r="D938" t="str">
            <v>Radio/Tv</v>
          </cell>
          <cell r="E938">
            <v>81950</v>
          </cell>
          <cell r="F938" t="str">
            <v>Less than 10000</v>
          </cell>
          <cell r="G938" t="str">
            <v>1-4 Years</v>
          </cell>
          <cell r="I938" t="str">
            <v>Female</v>
          </cell>
          <cell r="N938" t="str">
            <v>Own</v>
          </cell>
          <cell r="P938" t="str">
            <v>Unskilled Resident</v>
          </cell>
          <cell r="S938" t="str">
            <v>Yes</v>
          </cell>
        </row>
        <row r="939">
          <cell r="C939" t="str">
            <v>Existing Paid</v>
          </cell>
          <cell r="D939" t="str">
            <v>Radio/Tv</v>
          </cell>
          <cell r="E939">
            <v>226930</v>
          </cell>
          <cell r="F939" t="str">
            <v>Less than 10000</v>
          </cell>
          <cell r="G939" t="str">
            <v>Below 1Years</v>
          </cell>
          <cell r="I939" t="str">
            <v>Male</v>
          </cell>
          <cell r="N939" t="str">
            <v>Rent</v>
          </cell>
          <cell r="P939" t="str">
            <v>High Qualif/Self Emp/Mgmt</v>
          </cell>
          <cell r="S939" t="str">
            <v>Yes</v>
          </cell>
        </row>
        <row r="940">
          <cell r="C940" t="str">
            <v>Existing Paid</v>
          </cell>
          <cell r="D940" t="str">
            <v>Education</v>
          </cell>
          <cell r="E940">
            <v>691680</v>
          </cell>
          <cell r="F940" t="str">
            <v>Less than 10000</v>
          </cell>
          <cell r="G940" t="str">
            <v>1-4 Years</v>
          </cell>
          <cell r="I940" t="str">
            <v>Male</v>
          </cell>
          <cell r="N940" t="str">
            <v>For Free</v>
          </cell>
          <cell r="P940" t="str">
            <v>Skilled</v>
          </cell>
          <cell r="S940" t="str">
            <v>Yes</v>
          </cell>
        </row>
        <row r="941">
          <cell r="C941" t="str">
            <v>Critical/Other Existing Credit</v>
          </cell>
          <cell r="D941" t="str">
            <v>Used Car</v>
          </cell>
          <cell r="E941">
            <v>752620</v>
          </cell>
          <cell r="F941" t="str">
            <v>No Savings</v>
          </cell>
          <cell r="G941" t="str">
            <v>1-4 Years</v>
          </cell>
          <cell r="I941" t="str">
            <v>Male</v>
          </cell>
          <cell r="N941" t="str">
            <v>Own</v>
          </cell>
          <cell r="P941" t="str">
            <v>High Qualif/Self Emp/Mgmt</v>
          </cell>
          <cell r="S941" t="str">
            <v>Yes</v>
          </cell>
        </row>
        <row r="942">
          <cell r="C942" t="str">
            <v>Existing Paid</v>
          </cell>
          <cell r="D942" t="str">
            <v>New Car</v>
          </cell>
          <cell r="E942">
            <v>387970</v>
          </cell>
          <cell r="F942" t="str">
            <v>No Savings</v>
          </cell>
          <cell r="G942" t="str">
            <v>Below 1Years</v>
          </cell>
          <cell r="I942" t="str">
            <v>Male</v>
          </cell>
          <cell r="N942" t="str">
            <v>Own</v>
          </cell>
          <cell r="P942" t="str">
            <v>High Qualif/Self Emp/Mgmt</v>
          </cell>
          <cell r="S942" t="str">
            <v>Yes</v>
          </cell>
        </row>
        <row r="943">
          <cell r="C943" t="str">
            <v>Existing Paid</v>
          </cell>
          <cell r="D943" t="str">
            <v>New Car</v>
          </cell>
          <cell r="E943">
            <v>170060</v>
          </cell>
          <cell r="F943" t="str">
            <v>Less than 10000</v>
          </cell>
          <cell r="G943" t="str">
            <v>1-4 Years</v>
          </cell>
          <cell r="I943" t="str">
            <v>Male</v>
          </cell>
          <cell r="N943" t="str">
            <v>Own</v>
          </cell>
          <cell r="P943" t="str">
            <v>Unskilled Resident</v>
          </cell>
          <cell r="S943" t="str">
            <v>No</v>
          </cell>
        </row>
        <row r="944">
          <cell r="C944" t="str">
            <v>Existing Paid</v>
          </cell>
          <cell r="D944" t="str">
            <v>Furniture/Equipment</v>
          </cell>
          <cell r="E944">
            <v>102190</v>
          </cell>
          <cell r="F944" t="str">
            <v>No Savings</v>
          </cell>
          <cell r="G944" t="str">
            <v>4-6 Years</v>
          </cell>
          <cell r="I944" t="str">
            <v>Male</v>
          </cell>
          <cell r="N944" t="str">
            <v>Own</v>
          </cell>
          <cell r="P944" t="str">
            <v>Skilled</v>
          </cell>
          <cell r="S944" t="str">
            <v>Yes</v>
          </cell>
        </row>
        <row r="945">
          <cell r="C945" t="str">
            <v>Critical/Other Existing Credit</v>
          </cell>
          <cell r="D945" t="str">
            <v>New Car</v>
          </cell>
          <cell r="E945">
            <v>160050</v>
          </cell>
          <cell r="F945" t="str">
            <v>Less than 10000</v>
          </cell>
          <cell r="G945" t="str">
            <v>4-6 Years</v>
          </cell>
          <cell r="I945" t="str">
            <v>Male</v>
          </cell>
          <cell r="N945" t="str">
            <v>Own</v>
          </cell>
          <cell r="P945" t="str">
            <v>Unskilled Resident</v>
          </cell>
          <cell r="S945" t="str">
            <v>Yes</v>
          </cell>
        </row>
        <row r="946">
          <cell r="C946" t="str">
            <v>Existing Paid</v>
          </cell>
          <cell r="D946" t="str">
            <v>Furniture/Equipment</v>
          </cell>
          <cell r="E946">
            <v>202950</v>
          </cell>
          <cell r="F946" t="str">
            <v>Less than 10000</v>
          </cell>
          <cell r="G946" t="str">
            <v>Below 1Years</v>
          </cell>
          <cell r="I946" t="str">
            <v>Female</v>
          </cell>
          <cell r="N946" t="str">
            <v>Rent</v>
          </cell>
          <cell r="P946" t="str">
            <v>Skilled</v>
          </cell>
          <cell r="S946" t="str">
            <v>Yes</v>
          </cell>
        </row>
        <row r="947">
          <cell r="C947" t="str">
            <v>No Credits/All Paid</v>
          </cell>
          <cell r="D947" t="str">
            <v>New Car</v>
          </cell>
          <cell r="E947">
            <v>919380</v>
          </cell>
          <cell r="F947" t="str">
            <v>50000 - 99999</v>
          </cell>
          <cell r="G947" t="str">
            <v>Below 1Years</v>
          </cell>
          <cell r="I947" t="str">
            <v>Female</v>
          </cell>
          <cell r="N947" t="str">
            <v>Own</v>
          </cell>
          <cell r="P947" t="str">
            <v>Skilled</v>
          </cell>
          <cell r="S947" t="str">
            <v>Yes</v>
          </cell>
        </row>
        <row r="948">
          <cell r="C948" t="str">
            <v>All Paid</v>
          </cell>
          <cell r="D948" t="str">
            <v>Furniture/Equipment</v>
          </cell>
          <cell r="E948">
            <v>368390</v>
          </cell>
          <cell r="F948" t="str">
            <v>50000 - 99999</v>
          </cell>
          <cell r="G948" t="str">
            <v>Below 1Years</v>
          </cell>
          <cell r="I948" t="str">
            <v>Male</v>
          </cell>
          <cell r="N948" t="str">
            <v>For Free</v>
          </cell>
          <cell r="P948" t="str">
            <v>Skilled</v>
          </cell>
          <cell r="S948" t="str">
            <v>Yes</v>
          </cell>
        </row>
        <row r="949">
          <cell r="C949" t="str">
            <v>Existing Paid</v>
          </cell>
          <cell r="D949" t="str">
            <v>New Car</v>
          </cell>
          <cell r="E949">
            <v>314490</v>
          </cell>
          <cell r="F949" t="str">
            <v>No Savings</v>
          </cell>
          <cell r="G949" t="str">
            <v>Unemployed</v>
          </cell>
          <cell r="I949" t="str">
            <v>Male</v>
          </cell>
          <cell r="N949" t="str">
            <v>Own</v>
          </cell>
          <cell r="P949" t="str">
            <v>High Qualif/Self Emp/Mgmt</v>
          </cell>
          <cell r="S949" t="str">
            <v>Yes</v>
          </cell>
        </row>
        <row r="950">
          <cell r="C950" t="str">
            <v>Existing Paid</v>
          </cell>
          <cell r="D950" t="str">
            <v>Furniture/Equipment</v>
          </cell>
          <cell r="E950">
            <v>168630</v>
          </cell>
          <cell r="F950" t="str">
            <v>Less than 10000</v>
          </cell>
          <cell r="G950" t="str">
            <v>Below 1Years</v>
          </cell>
          <cell r="I950" t="str">
            <v>Male</v>
          </cell>
          <cell r="N950" t="str">
            <v>Own</v>
          </cell>
          <cell r="P950" t="str">
            <v>Unskilled Resident</v>
          </cell>
          <cell r="S950" t="str">
            <v>Yes</v>
          </cell>
        </row>
        <row r="951">
          <cell r="C951" t="str">
            <v>Existing Paid</v>
          </cell>
          <cell r="D951" t="str">
            <v>Radio/Tv</v>
          </cell>
          <cell r="E951">
            <v>398310</v>
          </cell>
          <cell r="F951" t="str">
            <v>10000 - 49999</v>
          </cell>
          <cell r="G951" t="str">
            <v>7 Years</v>
          </cell>
          <cell r="I951" t="str">
            <v>Male</v>
          </cell>
          <cell r="N951" t="str">
            <v>Own</v>
          </cell>
          <cell r="P951" t="str">
            <v>Skilled</v>
          </cell>
          <cell r="S951" t="str">
            <v>Yes</v>
          </cell>
        </row>
        <row r="952">
          <cell r="C952" t="str">
            <v>Critical/Other Existing Credit</v>
          </cell>
          <cell r="D952" t="str">
            <v>Business</v>
          </cell>
          <cell r="E952">
            <v>394900</v>
          </cell>
          <cell r="F952" t="str">
            <v>Less than 10000</v>
          </cell>
          <cell r="G952" t="str">
            <v>Unemployed</v>
          </cell>
          <cell r="I952" t="str">
            <v>Male</v>
          </cell>
          <cell r="N952" t="str">
            <v>Own</v>
          </cell>
          <cell r="P952" t="str">
            <v>Unemp/Unskilled Non Res</v>
          </cell>
          <cell r="S952" t="str">
            <v>Yes</v>
          </cell>
        </row>
        <row r="953">
          <cell r="C953" t="str">
            <v>Delayed Previously</v>
          </cell>
          <cell r="D953" t="str">
            <v>Business</v>
          </cell>
          <cell r="E953">
            <v>235950</v>
          </cell>
          <cell r="F953" t="str">
            <v>Less than 10000</v>
          </cell>
          <cell r="G953" t="str">
            <v>4-6 Years</v>
          </cell>
          <cell r="I953" t="str">
            <v>Male</v>
          </cell>
          <cell r="N953" t="str">
            <v>Own</v>
          </cell>
          <cell r="P953" t="str">
            <v>Skilled</v>
          </cell>
          <cell r="S953" t="str">
            <v>Yes</v>
          </cell>
        </row>
        <row r="954">
          <cell r="C954" t="str">
            <v>Existing Paid</v>
          </cell>
          <cell r="D954" t="str">
            <v>Used Car</v>
          </cell>
          <cell r="E954">
            <v>452430</v>
          </cell>
          <cell r="F954" t="str">
            <v>50000 - 99999</v>
          </cell>
          <cell r="G954" t="str">
            <v>Below 1Years</v>
          </cell>
          <cell r="I954" t="str">
            <v>Female</v>
          </cell>
          <cell r="N954" t="str">
            <v>Rent</v>
          </cell>
          <cell r="P954" t="str">
            <v>Skilled</v>
          </cell>
          <cell r="S954" t="str">
            <v>Yes</v>
          </cell>
        </row>
        <row r="955">
          <cell r="C955" t="str">
            <v>Existing Paid</v>
          </cell>
          <cell r="D955" t="str">
            <v>Furniture/Equipment</v>
          </cell>
          <cell r="E955">
            <v>1207140</v>
          </cell>
          <cell r="F955" t="str">
            <v>Less than 10000</v>
          </cell>
          <cell r="G955" t="str">
            <v>Unemployed</v>
          </cell>
          <cell r="I955" t="str">
            <v>Female</v>
          </cell>
          <cell r="N955" t="str">
            <v>Own</v>
          </cell>
          <cell r="P955" t="str">
            <v>High Qualif/Self Emp/Mgmt</v>
          </cell>
          <cell r="S955" t="str">
            <v>Yes</v>
          </cell>
        </row>
        <row r="956">
          <cell r="C956" t="str">
            <v>Existing Paid</v>
          </cell>
          <cell r="D956" t="str">
            <v>New Car</v>
          </cell>
          <cell r="E956">
            <v>208230</v>
          </cell>
          <cell r="F956" t="str">
            <v>Less than 10000</v>
          </cell>
          <cell r="G956" t="str">
            <v>1-4 Years</v>
          </cell>
          <cell r="I956" t="str">
            <v>Female</v>
          </cell>
          <cell r="N956" t="str">
            <v>Own</v>
          </cell>
          <cell r="P956" t="str">
            <v>Skilled</v>
          </cell>
          <cell r="S956" t="str">
            <v>Yes</v>
          </cell>
        </row>
        <row r="957">
          <cell r="C957" t="str">
            <v>Critical/Other Existing Credit</v>
          </cell>
          <cell r="D957" t="str">
            <v>Radio/Tv</v>
          </cell>
          <cell r="E957">
            <v>135410</v>
          </cell>
          <cell r="F957" t="str">
            <v>1,00000 or Above</v>
          </cell>
          <cell r="G957" t="str">
            <v>7 Years</v>
          </cell>
          <cell r="I957" t="str">
            <v>Female</v>
          </cell>
          <cell r="N957" t="str">
            <v>Rent</v>
          </cell>
          <cell r="P957" t="str">
            <v>High Qualif/Self Emp/Mgmt</v>
          </cell>
          <cell r="S957" t="str">
            <v>Yes</v>
          </cell>
        </row>
        <row r="958">
          <cell r="C958" t="str">
            <v>Critical/Other Existing Credit</v>
          </cell>
          <cell r="D958" t="str">
            <v>Radio/Tv</v>
          </cell>
          <cell r="E958">
            <v>402160</v>
          </cell>
          <cell r="F958" t="str">
            <v>No Savings</v>
          </cell>
          <cell r="G958" t="str">
            <v>7 Years</v>
          </cell>
          <cell r="I958" t="str">
            <v>Male</v>
          </cell>
          <cell r="N958" t="str">
            <v>Own</v>
          </cell>
          <cell r="P958" t="str">
            <v>Unskilled Resident</v>
          </cell>
          <cell r="S958" t="str">
            <v>Yes</v>
          </cell>
        </row>
        <row r="959">
          <cell r="C959" t="str">
            <v>Critical/Other Existing Credit</v>
          </cell>
          <cell r="D959" t="str">
            <v>Radio/Tv</v>
          </cell>
          <cell r="E959">
            <v>126940</v>
          </cell>
          <cell r="F959" t="str">
            <v>Less than 10000</v>
          </cell>
          <cell r="G959" t="str">
            <v>7 Years</v>
          </cell>
          <cell r="I959" t="str">
            <v>Male</v>
          </cell>
          <cell r="N959" t="str">
            <v>Own</v>
          </cell>
          <cell r="P959" t="str">
            <v>Unskilled Resident</v>
          </cell>
          <cell r="S959" t="str">
            <v>Yes</v>
          </cell>
        </row>
        <row r="960">
          <cell r="C960" t="str">
            <v>Existing Paid</v>
          </cell>
          <cell r="D960" t="str">
            <v>New Car</v>
          </cell>
          <cell r="E960">
            <v>440660</v>
          </cell>
          <cell r="F960" t="str">
            <v>Less than 10000</v>
          </cell>
          <cell r="G960" t="str">
            <v>1-4 Years</v>
          </cell>
          <cell r="I960" t="str">
            <v>Male</v>
          </cell>
          <cell r="N960" t="str">
            <v>Own</v>
          </cell>
          <cell r="P960" t="str">
            <v>Unskilled Resident</v>
          </cell>
          <cell r="S960" t="str">
            <v>Yes</v>
          </cell>
        </row>
        <row r="961">
          <cell r="C961" t="str">
            <v>Existing Paid</v>
          </cell>
          <cell r="D961" t="str">
            <v>Furniture/Equipment</v>
          </cell>
          <cell r="E961">
            <v>337590</v>
          </cell>
          <cell r="F961" t="str">
            <v>10000 - 49999</v>
          </cell>
          <cell r="G961" t="str">
            <v>7 Years</v>
          </cell>
          <cell r="I961" t="str">
            <v>Male</v>
          </cell>
          <cell r="N961" t="str">
            <v>For Free</v>
          </cell>
          <cell r="P961" t="str">
            <v>Skilled</v>
          </cell>
          <cell r="S961" t="str">
            <v>Yes</v>
          </cell>
        </row>
        <row r="962">
          <cell r="C962" t="str">
            <v>Critical/Other Existing Credit</v>
          </cell>
          <cell r="D962" t="str">
            <v>Radio/Tv</v>
          </cell>
          <cell r="E962">
            <v>191400</v>
          </cell>
          <cell r="F962" t="str">
            <v>Less than 10000</v>
          </cell>
          <cell r="G962" t="str">
            <v>7 Years</v>
          </cell>
          <cell r="I962" t="str">
            <v>Male</v>
          </cell>
          <cell r="N962" t="str">
            <v>Rent</v>
          </cell>
          <cell r="P962" t="str">
            <v>Skilled</v>
          </cell>
          <cell r="S962" t="str">
            <v>Yes</v>
          </cell>
        </row>
        <row r="963">
          <cell r="C963" t="str">
            <v>Delayed Previously</v>
          </cell>
          <cell r="D963" t="str">
            <v>New Car</v>
          </cell>
          <cell r="E963">
            <v>258830</v>
          </cell>
          <cell r="F963" t="str">
            <v>Less than 10000</v>
          </cell>
          <cell r="G963" t="str">
            <v>1-4 Years</v>
          </cell>
          <cell r="I963" t="str">
            <v>Male</v>
          </cell>
          <cell r="N963" t="str">
            <v>Own</v>
          </cell>
          <cell r="P963" t="str">
            <v>Skilled</v>
          </cell>
          <cell r="S963" t="str">
            <v>Yes</v>
          </cell>
        </row>
        <row r="964">
          <cell r="C964" t="str">
            <v>Existing Paid</v>
          </cell>
          <cell r="D964" t="str">
            <v>New Car</v>
          </cell>
          <cell r="E964">
            <v>391160</v>
          </cell>
          <cell r="F964" t="str">
            <v>No Savings</v>
          </cell>
          <cell r="G964" t="str">
            <v>1-4 Years</v>
          </cell>
          <cell r="I964" t="str">
            <v>Male</v>
          </cell>
          <cell r="N964" t="str">
            <v>Own</v>
          </cell>
          <cell r="P964" t="str">
            <v>Skilled</v>
          </cell>
          <cell r="S964" t="str">
            <v>Yes</v>
          </cell>
        </row>
        <row r="965">
          <cell r="C965" t="str">
            <v>Existing Paid</v>
          </cell>
          <cell r="D965" t="str">
            <v>Radio/Tv</v>
          </cell>
          <cell r="E965">
            <v>263670</v>
          </cell>
          <cell r="F965" t="str">
            <v>50000 - 99999</v>
          </cell>
          <cell r="G965" t="str">
            <v>7 Years</v>
          </cell>
          <cell r="I965" t="str">
            <v>Male</v>
          </cell>
          <cell r="N965" t="str">
            <v>Own</v>
          </cell>
          <cell r="P965" t="str">
            <v>Skilled</v>
          </cell>
          <cell r="S965" t="str">
            <v>Yes</v>
          </cell>
        </row>
        <row r="966">
          <cell r="C966" t="str">
            <v>Existing Paid</v>
          </cell>
          <cell r="D966" t="str">
            <v>Repairs</v>
          </cell>
          <cell r="E966">
            <v>49940</v>
          </cell>
          <cell r="F966" t="str">
            <v>Less than 10000</v>
          </cell>
          <cell r="G966" t="str">
            <v>Below 1Years</v>
          </cell>
          <cell r="I966" t="str">
            <v>Male</v>
          </cell>
          <cell r="N966" t="str">
            <v>Own</v>
          </cell>
          <cell r="P966" t="str">
            <v>Unskilled Resident</v>
          </cell>
          <cell r="S966" t="str">
            <v>Yes</v>
          </cell>
        </row>
        <row r="967">
          <cell r="C967" t="str">
            <v>Existing Paid</v>
          </cell>
          <cell r="D967" t="str">
            <v>Radio/Tv</v>
          </cell>
          <cell r="E967">
            <v>188650</v>
          </cell>
          <cell r="F967" t="str">
            <v>No Savings</v>
          </cell>
          <cell r="G967" t="str">
            <v>1-4 Years</v>
          </cell>
          <cell r="I967" t="str">
            <v>Female</v>
          </cell>
          <cell r="N967" t="str">
            <v>Own</v>
          </cell>
          <cell r="P967" t="str">
            <v>Skilled</v>
          </cell>
          <cell r="S967" t="str">
            <v>Yes</v>
          </cell>
        </row>
        <row r="968">
          <cell r="C968" t="str">
            <v>Critical/Other Existing Credit</v>
          </cell>
          <cell r="D968" t="str">
            <v>Radio/Tv</v>
          </cell>
          <cell r="E968">
            <v>277200</v>
          </cell>
          <cell r="F968" t="str">
            <v>50000 - 99999</v>
          </cell>
          <cell r="G968" t="str">
            <v>1-4 Years</v>
          </cell>
          <cell r="I968" t="str">
            <v>Male</v>
          </cell>
          <cell r="N968" t="str">
            <v>Own</v>
          </cell>
          <cell r="P968" t="str">
            <v>Unskilled Resident</v>
          </cell>
          <cell r="S968" t="str">
            <v>Yes</v>
          </cell>
        </row>
        <row r="969">
          <cell r="C969" t="str">
            <v>Existing Paid</v>
          </cell>
          <cell r="D969" t="str">
            <v>Radio/Tv</v>
          </cell>
          <cell r="E969">
            <v>392480</v>
          </cell>
          <cell r="F969" t="str">
            <v>Less than 10000</v>
          </cell>
          <cell r="G969" t="str">
            <v>7 Years</v>
          </cell>
          <cell r="I969" t="str">
            <v>Female</v>
          </cell>
          <cell r="N969" t="str">
            <v>Rent</v>
          </cell>
          <cell r="P969" t="str">
            <v>High Qualif/Self Emp/Mgmt</v>
          </cell>
          <cell r="S969" t="str">
            <v>Yes</v>
          </cell>
        </row>
        <row r="970">
          <cell r="C970" t="str">
            <v>Existing Paid</v>
          </cell>
          <cell r="D970" t="str">
            <v>Radio/Tv</v>
          </cell>
          <cell r="E970">
            <v>788260</v>
          </cell>
          <cell r="F970" t="str">
            <v>No Savings</v>
          </cell>
          <cell r="G970" t="str">
            <v>4-6 Years</v>
          </cell>
          <cell r="I970" t="str">
            <v>Male</v>
          </cell>
          <cell r="N970" t="str">
            <v>Rent</v>
          </cell>
          <cell r="P970" t="str">
            <v>Skilled</v>
          </cell>
          <cell r="S970" t="str">
            <v>Yes</v>
          </cell>
        </row>
        <row r="971">
          <cell r="C971" t="str">
            <v>Critical/Other Existing Credit</v>
          </cell>
          <cell r="D971" t="str">
            <v>New Car</v>
          </cell>
          <cell r="E971">
            <v>433290</v>
          </cell>
          <cell r="F971" t="str">
            <v>Less than 10000</v>
          </cell>
          <cell r="G971" t="str">
            <v>1-4 Years</v>
          </cell>
          <cell r="I971" t="str">
            <v>Male</v>
          </cell>
          <cell r="N971" t="str">
            <v>Own</v>
          </cell>
          <cell r="P971" t="str">
            <v>Unskilled Resident</v>
          </cell>
          <cell r="S971" t="str">
            <v>Yes</v>
          </cell>
        </row>
        <row r="972">
          <cell r="C972" t="str">
            <v>Existing Paid</v>
          </cell>
          <cell r="D972" t="str">
            <v>Repairs</v>
          </cell>
          <cell r="E972">
            <v>166540</v>
          </cell>
          <cell r="F972" t="str">
            <v>10000 - 49999</v>
          </cell>
          <cell r="G972" t="str">
            <v>1-4 Years</v>
          </cell>
          <cell r="I972" t="str">
            <v>Male</v>
          </cell>
          <cell r="N972" t="str">
            <v>Own</v>
          </cell>
          <cell r="P972" t="str">
            <v>Skilled</v>
          </cell>
          <cell r="S972" t="str">
            <v>Yes</v>
          </cell>
        </row>
        <row r="973">
          <cell r="C973" t="str">
            <v>Existing Paid</v>
          </cell>
          <cell r="D973" t="str">
            <v>New Car</v>
          </cell>
          <cell r="E973">
            <v>813230</v>
          </cell>
          <cell r="F973" t="str">
            <v>Less than 10000</v>
          </cell>
          <cell r="G973" t="str">
            <v>1-4 Years</v>
          </cell>
          <cell r="I973" t="str">
            <v>Male</v>
          </cell>
          <cell r="N973" t="str">
            <v>Own</v>
          </cell>
          <cell r="P973" t="str">
            <v>Unskilled Resident</v>
          </cell>
          <cell r="S973" t="str">
            <v>Yes</v>
          </cell>
        </row>
        <row r="974">
          <cell r="C974" t="str">
            <v>All Paid</v>
          </cell>
          <cell r="D974" t="str">
            <v>New Car</v>
          </cell>
          <cell r="E974">
            <v>131230</v>
          </cell>
          <cell r="F974" t="str">
            <v>Less than 10000</v>
          </cell>
          <cell r="G974" t="str">
            <v>Unemployed</v>
          </cell>
          <cell r="I974" t="str">
            <v>Female</v>
          </cell>
          <cell r="N974" t="str">
            <v>Rent</v>
          </cell>
          <cell r="P974" t="str">
            <v>Unemp/Unskilled Non Res</v>
          </cell>
          <cell r="S974" t="str">
            <v>Yes</v>
          </cell>
        </row>
        <row r="975">
          <cell r="C975" t="str">
            <v>Existing Paid</v>
          </cell>
          <cell r="D975" t="str">
            <v>Business</v>
          </cell>
          <cell r="E975">
            <v>802670</v>
          </cell>
          <cell r="F975" t="str">
            <v>Less than 10000</v>
          </cell>
          <cell r="G975" t="str">
            <v>7 Years</v>
          </cell>
          <cell r="I975" t="str">
            <v>Male</v>
          </cell>
          <cell r="N975" t="str">
            <v>Rent</v>
          </cell>
          <cell r="P975" t="str">
            <v>Skilled</v>
          </cell>
          <cell r="S975" t="str">
            <v>Yes</v>
          </cell>
        </row>
        <row r="976">
          <cell r="C976" t="str">
            <v>Critical/Other Existing Credit</v>
          </cell>
          <cell r="D976" t="str">
            <v>Radio/Tv</v>
          </cell>
          <cell r="E976">
            <v>311410</v>
          </cell>
          <cell r="F976" t="str">
            <v>Less than 10000</v>
          </cell>
          <cell r="G976" t="str">
            <v>1-4 Years</v>
          </cell>
          <cell r="I976" t="str">
            <v>Female</v>
          </cell>
          <cell r="N976" t="str">
            <v>Own</v>
          </cell>
          <cell r="P976" t="str">
            <v>Skilled</v>
          </cell>
          <cell r="S976" t="str">
            <v>Yes</v>
          </cell>
        </row>
        <row r="977">
          <cell r="C977" t="str">
            <v>Existing Paid</v>
          </cell>
          <cell r="D977" t="str">
            <v>Radio/Tv</v>
          </cell>
          <cell r="E977">
            <v>138380</v>
          </cell>
          <cell r="F977" t="str">
            <v>50000 - 99999</v>
          </cell>
          <cell r="G977" t="str">
            <v>1-4 Years</v>
          </cell>
          <cell r="I977" t="str">
            <v>Female</v>
          </cell>
          <cell r="N977" t="str">
            <v>Own</v>
          </cell>
          <cell r="P977" t="str">
            <v>Unskilled Resident</v>
          </cell>
          <cell r="S977" t="str">
            <v>Yes</v>
          </cell>
        </row>
        <row r="978">
          <cell r="C978" t="str">
            <v>Existing Paid</v>
          </cell>
          <cell r="D978" t="str">
            <v>Radio/Tv</v>
          </cell>
          <cell r="E978">
            <v>82830</v>
          </cell>
          <cell r="F978" t="str">
            <v>Less than 10000</v>
          </cell>
          <cell r="G978" t="str">
            <v>1-4 Years</v>
          </cell>
          <cell r="I978" t="str">
            <v>Female</v>
          </cell>
          <cell r="N978" t="str">
            <v>Own</v>
          </cell>
          <cell r="P978" t="str">
            <v>Skilled</v>
          </cell>
          <cell r="S978" t="str">
            <v>Yes</v>
          </cell>
        </row>
        <row r="979">
          <cell r="C979" t="str">
            <v>Delayed Previously</v>
          </cell>
          <cell r="D979" t="str">
            <v>Business</v>
          </cell>
          <cell r="E979">
            <v>266970</v>
          </cell>
          <cell r="F979" t="str">
            <v>No Savings</v>
          </cell>
          <cell r="G979" t="str">
            <v>7 Years</v>
          </cell>
          <cell r="I979" t="str">
            <v>Male</v>
          </cell>
          <cell r="N979" t="str">
            <v>Own</v>
          </cell>
          <cell r="P979" t="str">
            <v>Skilled</v>
          </cell>
          <cell r="S979" t="str">
            <v>Yes</v>
          </cell>
        </row>
        <row r="980">
          <cell r="C980" t="str">
            <v>Delayed Previously</v>
          </cell>
          <cell r="D980" t="str">
            <v>New Car</v>
          </cell>
          <cell r="E980">
            <v>279180</v>
          </cell>
          <cell r="F980" t="str">
            <v>Less than 10000</v>
          </cell>
          <cell r="G980" t="str">
            <v>7 Years</v>
          </cell>
          <cell r="I980" t="str">
            <v>Male</v>
          </cell>
          <cell r="N980" t="str">
            <v>Own</v>
          </cell>
          <cell r="P980" t="str">
            <v>Unskilled Resident</v>
          </cell>
          <cell r="S980" t="str">
            <v>Yes</v>
          </cell>
        </row>
        <row r="981">
          <cell r="C981" t="str">
            <v>All Paid</v>
          </cell>
          <cell r="D981" t="str">
            <v>New Car</v>
          </cell>
          <cell r="E981">
            <v>139040</v>
          </cell>
          <cell r="F981" t="str">
            <v>10000 - 49999</v>
          </cell>
          <cell r="G981" t="str">
            <v>1-4 Years</v>
          </cell>
          <cell r="I981" t="str">
            <v>Male</v>
          </cell>
          <cell r="N981" t="str">
            <v>Rent</v>
          </cell>
          <cell r="P981" t="str">
            <v>Skilled</v>
          </cell>
          <cell r="S981" t="str">
            <v>Yes</v>
          </cell>
        </row>
        <row r="982">
          <cell r="C982" t="str">
            <v>Critical/Other Existing Credit</v>
          </cell>
          <cell r="D982" t="str">
            <v>Furniture/Equipment</v>
          </cell>
          <cell r="E982">
            <v>922460</v>
          </cell>
          <cell r="F982" t="str">
            <v>Less than 10000</v>
          </cell>
          <cell r="G982" t="str">
            <v>4-6 Years</v>
          </cell>
          <cell r="I982" t="str">
            <v>Male</v>
          </cell>
          <cell r="N982" t="str">
            <v>Own</v>
          </cell>
          <cell r="P982" t="str">
            <v>Skilled</v>
          </cell>
          <cell r="S982" t="str">
            <v>Yes</v>
          </cell>
        </row>
        <row r="983">
          <cell r="C983" t="str">
            <v>Existing Paid</v>
          </cell>
          <cell r="D983" t="str">
            <v>Business</v>
          </cell>
          <cell r="E983">
            <v>532840</v>
          </cell>
          <cell r="F983" t="str">
            <v>Less than 10000</v>
          </cell>
          <cell r="G983" t="str">
            <v>Unemployed</v>
          </cell>
          <cell r="I983" t="str">
            <v>Male</v>
          </cell>
          <cell r="N983" t="str">
            <v>Rent</v>
          </cell>
          <cell r="P983" t="str">
            <v>High Qualif/Self Emp/Mgmt</v>
          </cell>
          <cell r="S983" t="str">
            <v>Yes</v>
          </cell>
        </row>
        <row r="984">
          <cell r="C984" t="str">
            <v>Existing Paid</v>
          </cell>
          <cell r="D984" t="str">
            <v>New Car</v>
          </cell>
          <cell r="E984">
            <v>321530</v>
          </cell>
          <cell r="F984" t="str">
            <v>10000 - 49999</v>
          </cell>
          <cell r="G984" t="str">
            <v>1-4 Years</v>
          </cell>
          <cell r="I984" t="str">
            <v>Female</v>
          </cell>
          <cell r="N984" t="str">
            <v>Own</v>
          </cell>
          <cell r="P984" t="str">
            <v>High Qualif/Self Emp/Mgmt</v>
          </cell>
          <cell r="S984" t="str">
            <v>Yes</v>
          </cell>
        </row>
        <row r="985">
          <cell r="C985" t="str">
            <v>Existing Paid</v>
          </cell>
          <cell r="D985" t="str">
            <v>Used Car</v>
          </cell>
          <cell r="E985">
            <v>905190</v>
          </cell>
          <cell r="F985" t="str">
            <v>Less than 10000</v>
          </cell>
          <cell r="G985" t="str">
            <v>1-4 Years</v>
          </cell>
          <cell r="I985" t="str">
            <v>Male</v>
          </cell>
          <cell r="N985" t="str">
            <v>Own</v>
          </cell>
          <cell r="P985" t="str">
            <v>Skilled</v>
          </cell>
          <cell r="S985" t="str">
            <v>Yes</v>
          </cell>
        </row>
        <row r="986">
          <cell r="C986" t="str">
            <v>Critical/Other Existing Credit</v>
          </cell>
          <cell r="D986" t="str">
            <v>Furniture/Equipment</v>
          </cell>
          <cell r="E986">
            <v>223080</v>
          </cell>
          <cell r="F986" t="str">
            <v>Less than 10000</v>
          </cell>
          <cell r="G986" t="str">
            <v>4-6 Years</v>
          </cell>
          <cell r="I986" t="str">
            <v>Male</v>
          </cell>
          <cell r="N986" t="str">
            <v>Own</v>
          </cell>
          <cell r="P986" t="str">
            <v>Unskilled Resident</v>
          </cell>
          <cell r="S986" t="str">
            <v>Yes</v>
          </cell>
        </row>
        <row r="987">
          <cell r="C987" t="str">
            <v>Critical/Other Existing Credit</v>
          </cell>
          <cell r="D987" t="str">
            <v>Furniture/Equipment</v>
          </cell>
          <cell r="E987">
            <v>157630</v>
          </cell>
          <cell r="F987" t="str">
            <v>Less than 10000</v>
          </cell>
          <cell r="G987" t="str">
            <v>1-4 Years</v>
          </cell>
          <cell r="I987" t="str">
            <v>Female</v>
          </cell>
          <cell r="N987" t="str">
            <v>Rent</v>
          </cell>
          <cell r="P987" t="str">
            <v>Skilled</v>
          </cell>
          <cell r="S987" t="str">
            <v>Yes</v>
          </cell>
        </row>
        <row r="988">
          <cell r="C988" t="str">
            <v>No Credits/All Paid</v>
          </cell>
          <cell r="D988" t="str">
            <v>Business</v>
          </cell>
          <cell r="E988">
            <v>691790</v>
          </cell>
          <cell r="F988" t="str">
            <v>Less than 10000</v>
          </cell>
          <cell r="G988" t="str">
            <v>Below 1Years</v>
          </cell>
          <cell r="I988" t="str">
            <v>Male</v>
          </cell>
          <cell r="N988" t="str">
            <v>Own</v>
          </cell>
          <cell r="P988" t="str">
            <v>Skilled</v>
          </cell>
          <cell r="S988" t="str">
            <v>Yes</v>
          </cell>
        </row>
        <row r="989">
          <cell r="C989" t="str">
            <v>Existing Paid</v>
          </cell>
          <cell r="D989" t="str">
            <v>Radio/Tv</v>
          </cell>
          <cell r="E989">
            <v>154990</v>
          </cell>
          <cell r="F989" t="str">
            <v>10000 - 49999</v>
          </cell>
          <cell r="G989" t="str">
            <v>Unemployed</v>
          </cell>
          <cell r="I989" t="str">
            <v>Female</v>
          </cell>
          <cell r="N989" t="str">
            <v>Own</v>
          </cell>
          <cell r="P989" t="str">
            <v>Skilled</v>
          </cell>
          <cell r="S989" t="str">
            <v>Yes</v>
          </cell>
        </row>
        <row r="990">
          <cell r="C990" t="str">
            <v>Existing Paid</v>
          </cell>
          <cell r="D990" t="str">
            <v>Used Car</v>
          </cell>
          <cell r="E990">
            <v>723690</v>
          </cell>
          <cell r="F990" t="str">
            <v>Less than 10000</v>
          </cell>
          <cell r="G990" t="str">
            <v>Unemployed</v>
          </cell>
          <cell r="I990" t="str">
            <v>Male</v>
          </cell>
          <cell r="N990" t="str">
            <v>For Free</v>
          </cell>
          <cell r="P990" t="str">
            <v>High Qualif/Self Emp/Mgmt</v>
          </cell>
          <cell r="S990" t="str">
            <v>Yes</v>
          </cell>
        </row>
        <row r="991">
          <cell r="C991" t="str">
            <v>Critical/Other Existing Credit</v>
          </cell>
          <cell r="D991" t="str">
            <v>Radio/Tv</v>
          </cell>
          <cell r="E991">
            <v>191730</v>
          </cell>
          <cell r="F991" t="str">
            <v>Less than 10000</v>
          </cell>
          <cell r="G991" t="str">
            <v>7 Years</v>
          </cell>
          <cell r="I991" t="str">
            <v>Male</v>
          </cell>
          <cell r="N991" t="str">
            <v>Own</v>
          </cell>
          <cell r="P991" t="str">
            <v>Unskilled Resident</v>
          </cell>
          <cell r="S991" t="str">
            <v>Yes</v>
          </cell>
        </row>
        <row r="992">
          <cell r="C992" t="str">
            <v>Critical/Other Existing Credit</v>
          </cell>
          <cell r="D992" t="str">
            <v>Education</v>
          </cell>
          <cell r="E992">
            <v>392150</v>
          </cell>
          <cell r="F992" t="str">
            <v>No Savings</v>
          </cell>
          <cell r="G992" t="str">
            <v>Below 1Years</v>
          </cell>
          <cell r="I992" t="str">
            <v>Male</v>
          </cell>
          <cell r="N992" t="str">
            <v>Own</v>
          </cell>
          <cell r="P992" t="str">
            <v>Unskilled Resident</v>
          </cell>
          <cell r="S992" t="str">
            <v>Yes</v>
          </cell>
        </row>
        <row r="993">
          <cell r="C993" t="str">
            <v>All Paid</v>
          </cell>
          <cell r="D993" t="str">
            <v>Radio/Tv</v>
          </cell>
          <cell r="E993">
            <v>172590</v>
          </cell>
          <cell r="F993" t="str">
            <v>10000 - 49999</v>
          </cell>
          <cell r="G993" t="str">
            <v>7 Years</v>
          </cell>
          <cell r="I993" t="str">
            <v>Male</v>
          </cell>
          <cell r="N993" t="str">
            <v>Own</v>
          </cell>
          <cell r="P993" t="str">
            <v>Unskilled Resident</v>
          </cell>
          <cell r="S993" t="str">
            <v>Yes</v>
          </cell>
        </row>
        <row r="994">
          <cell r="C994" t="str">
            <v>Existing Paid</v>
          </cell>
          <cell r="D994" t="str">
            <v>Radio/Tv</v>
          </cell>
          <cell r="E994">
            <v>212960</v>
          </cell>
          <cell r="F994" t="str">
            <v>No Savings</v>
          </cell>
          <cell r="G994" t="str">
            <v>4-6 Years</v>
          </cell>
          <cell r="I994" t="str">
            <v>Male</v>
          </cell>
          <cell r="N994" t="str">
            <v>Rent</v>
          </cell>
          <cell r="P994" t="str">
            <v>Unskilled Resident</v>
          </cell>
          <cell r="S994" t="str">
            <v>Yes</v>
          </cell>
        </row>
        <row r="995">
          <cell r="C995" t="str">
            <v>Existing Paid</v>
          </cell>
          <cell r="D995" t="str">
            <v>Furniture/Equipment</v>
          </cell>
          <cell r="E995">
            <v>435490</v>
          </cell>
          <cell r="F995" t="str">
            <v>Less than 10000</v>
          </cell>
          <cell r="G995" t="str">
            <v>Unemployed</v>
          </cell>
          <cell r="I995" t="str">
            <v>Male</v>
          </cell>
          <cell r="N995" t="str">
            <v>Own</v>
          </cell>
          <cell r="P995" t="str">
            <v>High Qualif/Self Emp/Mgmt</v>
          </cell>
          <cell r="S995" t="str">
            <v>Yes</v>
          </cell>
        </row>
        <row r="996">
          <cell r="C996" t="str">
            <v>Existing Paid</v>
          </cell>
          <cell r="D996" t="str">
            <v>New Car</v>
          </cell>
          <cell r="E996">
            <v>262900</v>
          </cell>
          <cell r="F996" t="str">
            <v>No Savings</v>
          </cell>
          <cell r="G996" t="str">
            <v>7 Years</v>
          </cell>
          <cell r="I996" t="str">
            <v>Male</v>
          </cell>
          <cell r="N996" t="str">
            <v>Own</v>
          </cell>
          <cell r="P996" t="str">
            <v>Skilled</v>
          </cell>
          <cell r="S996" t="str">
            <v>Yes</v>
          </cell>
        </row>
        <row r="997">
          <cell r="C997" t="str">
            <v>Existing Paid</v>
          </cell>
          <cell r="D997" t="str">
            <v>Furniture/Equipment</v>
          </cell>
          <cell r="E997">
            <v>190960</v>
          </cell>
          <cell r="F997" t="str">
            <v>Less than 10000</v>
          </cell>
          <cell r="G997" t="str">
            <v>4-6 Years</v>
          </cell>
          <cell r="I997" t="str">
            <v>Female</v>
          </cell>
          <cell r="N997" t="str">
            <v>Own</v>
          </cell>
          <cell r="P997" t="str">
            <v>Unskilled Resident</v>
          </cell>
          <cell r="S997" t="str">
            <v>Yes</v>
          </cell>
        </row>
        <row r="998">
          <cell r="C998" t="str">
            <v>Existing Paid</v>
          </cell>
          <cell r="D998" t="str">
            <v>Used Car</v>
          </cell>
          <cell r="E998">
            <v>424270</v>
          </cell>
          <cell r="F998" t="str">
            <v>Less than 10000</v>
          </cell>
          <cell r="G998" t="str">
            <v>1-4 Years</v>
          </cell>
          <cell r="I998" t="str">
            <v>Male</v>
          </cell>
          <cell r="N998" t="str">
            <v>Own</v>
          </cell>
          <cell r="P998" t="str">
            <v>High Qualif/Self Emp/Mgmt</v>
          </cell>
          <cell r="S998" t="str">
            <v>Yes</v>
          </cell>
        </row>
        <row r="999">
          <cell r="C999" t="str">
            <v>Existing Paid</v>
          </cell>
          <cell r="D999" t="str">
            <v>Radio/Tv</v>
          </cell>
          <cell r="E999">
            <v>88440</v>
          </cell>
          <cell r="F999" t="str">
            <v>Less than 10000</v>
          </cell>
          <cell r="G999" t="str">
            <v>7 Years</v>
          </cell>
          <cell r="I999" t="str">
            <v>Male</v>
          </cell>
          <cell r="N999" t="str">
            <v>Own</v>
          </cell>
          <cell r="P999" t="str">
            <v>Skilled</v>
          </cell>
          <cell r="S999" t="str">
            <v>Yes</v>
          </cell>
        </row>
        <row r="1000">
          <cell r="C1000" t="str">
            <v>Existing Paid</v>
          </cell>
          <cell r="D1000" t="str">
            <v>Radio/Tv</v>
          </cell>
          <cell r="E1000">
            <v>202950</v>
          </cell>
          <cell r="F1000" t="str">
            <v>Less than 10000</v>
          </cell>
          <cell r="G1000" t="str">
            <v>1-4 Years</v>
          </cell>
          <cell r="I1000" t="str">
            <v>Male</v>
          </cell>
          <cell r="N1000" t="str">
            <v>For Free</v>
          </cell>
          <cell r="P1000" t="str">
            <v>Skilled</v>
          </cell>
          <cell r="S1000" t="str">
            <v>Yes</v>
          </cell>
        </row>
        <row r="1001">
          <cell r="C1001" t="str">
            <v>Critical/Other Existing Credit</v>
          </cell>
          <cell r="D1001" t="str">
            <v>Used Car</v>
          </cell>
          <cell r="E1001">
            <v>503360</v>
          </cell>
          <cell r="F1001" t="str">
            <v>10000 - 49999</v>
          </cell>
          <cell r="G1001" t="str">
            <v>Unemployed</v>
          </cell>
          <cell r="I1001" t="str">
            <v>Male</v>
          </cell>
          <cell r="N1001" t="str">
            <v>Own</v>
          </cell>
          <cell r="P1001" t="str">
            <v>Skilled</v>
          </cell>
          <cell r="S1001" t="str">
            <v>Yes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66CAD-8868-40E2-9CB4-E5494241C012}" name="Table1" displayName="Table1" ref="A1:T1001" totalsRowShown="0">
  <autoFilter ref="A1:T1001" xr:uid="{D4566CAD-8868-40E2-9CB4-E5494241C012}"/>
  <tableColumns count="20">
    <tableColumn id="1" xr3:uid="{D656B89B-A6AB-4076-A8FD-A607B37B0603}" name="Loan Id"/>
    <tableColumn id="2" xr3:uid="{EE3D6F45-13A6-4D5E-8D0C-00BCD045989E}" name="Duration"/>
    <tableColumn id="3" xr3:uid="{C81385E1-011A-42F2-86DF-81A010337872}" name="Credit_History"/>
    <tableColumn id="4" xr3:uid="{FC7F0831-E564-421F-BF5A-2E73D2F12CCC}" name="Purpose"/>
    <tableColumn id="5" xr3:uid="{DE231E2D-35DD-4846-9E28-828E469D6DF9}" name="Credit_Amount"/>
    <tableColumn id="6" xr3:uid="{C027C707-755F-47D4-A75C-3D0E24DE0F34}" name="Savings_Status" dataDxfId="0"/>
    <tableColumn id="7" xr3:uid="{F3D9498D-1C8E-4C62-B4B8-3EBFCBDB9CCA}" name="Employment"/>
    <tableColumn id="8" xr3:uid="{381A2B4A-C9C2-455E-B048-7701D8539252}" name="Installment_Commitment"/>
    <tableColumn id="9" xr3:uid="{B4DB39C5-FF37-4FB6-96B1-808ED8D3F525}" name="Personal_Status"/>
    <tableColumn id="10" xr3:uid="{8FF69181-D440-47A0-B320-61E5135C2624}" name="Residence_Since"/>
    <tableColumn id="11" xr3:uid="{B8B1D9A5-0BDF-4A61-A874-EF2CE98550AD}" name="Owne Property"/>
    <tableColumn id="12" xr3:uid="{0C18B781-67D7-4F39-B553-BB98BE0F0A5E}" name="Age"/>
    <tableColumn id="13" xr3:uid="{DE1739BE-C385-434D-8636-4990511BE934}" name="Other_Payment_Plans"/>
    <tableColumn id="14" xr3:uid="{EDC6013A-B7D9-4DA0-B42A-39BA4E1725F7}" name="Housing"/>
    <tableColumn id="15" xr3:uid="{0FE177E1-C039-4AEE-89DC-C8AA7D0FE2D2}" name="Existing_Credits"/>
    <tableColumn id="16" xr3:uid="{11AA98C6-2ED9-4B66-AA1A-80E6234CC0AE}" name="Job"/>
    <tableColumn id="17" xr3:uid="{C2535D4A-8BB9-4BF1-8B54-5A235AA5C194}" name="Num_Dependents"/>
    <tableColumn id="18" xr3:uid="{9AFB7408-DC2C-4BC8-A8C9-9F9C6769530D}" name="Own_Telephone"/>
    <tableColumn id="19" xr3:uid="{408A0560-EE36-41EA-A380-C78992BF4F54}" name="Foreign_Worker"/>
    <tableColumn id="20" xr3:uid="{165AF8E0-EA03-4DCA-AD93-BC4BB58118D6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/>
  </sheetViews>
  <sheetFormatPr defaultRowHeight="14.5" x14ac:dyDescent="0.35"/>
  <cols>
    <col min="1" max="1" width="8.90625" customWidth="1"/>
    <col min="2" max="2" width="10.26953125" customWidth="1"/>
    <col min="3" max="3" width="24.54296875" bestFit="1" customWidth="1"/>
    <col min="4" max="4" width="18.6328125" bestFit="1" customWidth="1"/>
    <col min="5" max="5" width="15.7265625" customWidth="1"/>
    <col min="6" max="6" width="16.26953125" bestFit="1" customWidth="1"/>
    <col min="7" max="7" width="13.453125" customWidth="1"/>
    <col min="8" max="8" width="24.453125" customWidth="1"/>
    <col min="9" max="9" width="16.36328125" customWidth="1"/>
    <col min="10" max="10" width="16.453125" customWidth="1"/>
    <col min="11" max="11" width="17.1796875" bestFit="1" customWidth="1"/>
    <col min="12" max="12" width="5.90625" customWidth="1"/>
    <col min="13" max="13" width="21.6328125" customWidth="1"/>
    <col min="14" max="14" width="9.54296875" customWidth="1"/>
    <col min="15" max="15" width="16.08984375" customWidth="1"/>
    <col min="16" max="16" width="24" bestFit="1" customWidth="1"/>
    <col min="17" max="17" width="18" customWidth="1"/>
    <col min="18" max="18" width="16.54296875" customWidth="1"/>
    <col min="19" max="19" width="16.36328125" customWidth="1"/>
    <col min="20" max="20" width="7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6</v>
      </c>
      <c r="C2" t="s">
        <v>21</v>
      </c>
      <c r="D2" t="s">
        <v>22</v>
      </c>
      <c r="E2">
        <v>128590</v>
      </c>
      <c r="F2" s="1" t="s">
        <v>23</v>
      </c>
      <c r="G2" t="s">
        <v>24</v>
      </c>
      <c r="H2">
        <v>4</v>
      </c>
      <c r="I2" t="s">
        <v>25</v>
      </c>
      <c r="J2">
        <v>4</v>
      </c>
      <c r="K2" t="s">
        <v>26</v>
      </c>
      <c r="L2">
        <v>67</v>
      </c>
      <c r="M2" t="s">
        <v>27</v>
      </c>
      <c r="N2" t="s">
        <v>28</v>
      </c>
      <c r="O2">
        <v>2</v>
      </c>
      <c r="P2" t="s">
        <v>29</v>
      </c>
      <c r="Q2">
        <v>1</v>
      </c>
      <c r="R2" t="s">
        <v>30</v>
      </c>
      <c r="S2" t="s">
        <v>30</v>
      </c>
      <c r="T2" t="s">
        <v>31</v>
      </c>
    </row>
    <row r="3" spans="1:20" x14ac:dyDescent="0.35">
      <c r="A3" t="s">
        <v>32</v>
      </c>
      <c r="B3">
        <v>48</v>
      </c>
      <c r="C3" t="s">
        <v>33</v>
      </c>
      <c r="D3" t="s">
        <v>22</v>
      </c>
      <c r="E3">
        <v>654610</v>
      </c>
      <c r="F3" s="2" t="s">
        <v>1060</v>
      </c>
      <c r="G3" t="s">
        <v>34</v>
      </c>
      <c r="H3">
        <v>2</v>
      </c>
      <c r="I3" t="s">
        <v>35</v>
      </c>
      <c r="J3">
        <v>2</v>
      </c>
      <c r="K3" t="s">
        <v>26</v>
      </c>
      <c r="L3">
        <v>22</v>
      </c>
      <c r="M3" t="s">
        <v>27</v>
      </c>
      <c r="N3" t="s">
        <v>28</v>
      </c>
      <c r="O3">
        <v>1</v>
      </c>
      <c r="P3" t="s">
        <v>29</v>
      </c>
      <c r="Q3">
        <v>1</v>
      </c>
      <c r="R3" t="s">
        <v>27</v>
      </c>
      <c r="S3" t="s">
        <v>30</v>
      </c>
      <c r="T3" t="s">
        <v>31</v>
      </c>
    </row>
    <row r="4" spans="1:20" x14ac:dyDescent="0.35">
      <c r="A4" t="s">
        <v>36</v>
      </c>
      <c r="B4">
        <v>12</v>
      </c>
      <c r="C4" t="s">
        <v>21</v>
      </c>
      <c r="D4" t="s">
        <v>37</v>
      </c>
      <c r="E4">
        <v>230560</v>
      </c>
      <c r="F4" s="1" t="s">
        <v>1060</v>
      </c>
      <c r="G4" t="s">
        <v>38</v>
      </c>
      <c r="H4">
        <v>2</v>
      </c>
      <c r="I4" t="s">
        <v>25</v>
      </c>
      <c r="J4">
        <v>3</v>
      </c>
      <c r="K4" t="s">
        <v>26</v>
      </c>
      <c r="L4">
        <v>49</v>
      </c>
      <c r="M4" t="s">
        <v>27</v>
      </c>
      <c r="N4" t="s">
        <v>28</v>
      </c>
      <c r="O4">
        <v>1</v>
      </c>
      <c r="P4" t="s">
        <v>39</v>
      </c>
      <c r="Q4">
        <v>2</v>
      </c>
      <c r="R4" t="s">
        <v>27</v>
      </c>
      <c r="S4" t="s">
        <v>30</v>
      </c>
      <c r="T4" t="s">
        <v>31</v>
      </c>
    </row>
    <row r="5" spans="1:20" x14ac:dyDescent="0.35">
      <c r="A5" t="s">
        <v>40</v>
      </c>
      <c r="B5">
        <v>42</v>
      </c>
      <c r="C5" t="s">
        <v>33</v>
      </c>
      <c r="D5" t="s">
        <v>41</v>
      </c>
      <c r="E5">
        <v>867020</v>
      </c>
      <c r="F5" s="2" t="s">
        <v>1060</v>
      </c>
      <c r="G5" t="s">
        <v>38</v>
      </c>
      <c r="H5">
        <v>2</v>
      </c>
      <c r="I5" t="s">
        <v>25</v>
      </c>
      <c r="J5">
        <v>4</v>
      </c>
      <c r="K5" t="s">
        <v>42</v>
      </c>
      <c r="L5">
        <v>45</v>
      </c>
      <c r="M5" t="s">
        <v>27</v>
      </c>
      <c r="N5" t="s">
        <v>43</v>
      </c>
      <c r="O5">
        <v>1</v>
      </c>
      <c r="P5" t="s">
        <v>29</v>
      </c>
      <c r="Q5">
        <v>2</v>
      </c>
      <c r="R5" t="s">
        <v>27</v>
      </c>
      <c r="S5" t="s">
        <v>30</v>
      </c>
      <c r="T5" t="s">
        <v>31</v>
      </c>
    </row>
    <row r="6" spans="1:20" x14ac:dyDescent="0.35">
      <c r="A6" t="s">
        <v>44</v>
      </c>
      <c r="B6">
        <v>24</v>
      </c>
      <c r="C6" t="s">
        <v>45</v>
      </c>
      <c r="D6" t="s">
        <v>46</v>
      </c>
      <c r="E6">
        <v>535700</v>
      </c>
      <c r="F6" s="1" t="s">
        <v>1060</v>
      </c>
      <c r="G6" t="s">
        <v>34</v>
      </c>
      <c r="H6">
        <v>3</v>
      </c>
      <c r="I6" t="s">
        <v>25</v>
      </c>
      <c r="J6">
        <v>4</v>
      </c>
      <c r="K6" t="s">
        <v>47</v>
      </c>
      <c r="L6">
        <v>53</v>
      </c>
      <c r="M6" t="s">
        <v>27</v>
      </c>
      <c r="N6" t="s">
        <v>43</v>
      </c>
      <c r="O6">
        <v>2</v>
      </c>
      <c r="P6" t="s">
        <v>29</v>
      </c>
      <c r="Q6">
        <v>2</v>
      </c>
      <c r="R6" t="s">
        <v>27</v>
      </c>
      <c r="S6" t="s">
        <v>30</v>
      </c>
      <c r="T6" t="s">
        <v>31</v>
      </c>
    </row>
    <row r="7" spans="1:20" x14ac:dyDescent="0.35">
      <c r="A7" t="s">
        <v>48</v>
      </c>
      <c r="B7">
        <v>36</v>
      </c>
      <c r="C7" t="s">
        <v>33</v>
      </c>
      <c r="D7" t="s">
        <v>37</v>
      </c>
      <c r="E7">
        <v>996050</v>
      </c>
      <c r="F7" s="2" t="s">
        <v>23</v>
      </c>
      <c r="G7" t="s">
        <v>34</v>
      </c>
      <c r="H7">
        <v>2</v>
      </c>
      <c r="I7" t="s">
        <v>25</v>
      </c>
      <c r="J7">
        <v>4</v>
      </c>
      <c r="K7" t="s">
        <v>47</v>
      </c>
      <c r="L7">
        <v>35</v>
      </c>
      <c r="M7" t="s">
        <v>27</v>
      </c>
      <c r="N7" t="s">
        <v>43</v>
      </c>
      <c r="O7">
        <v>1</v>
      </c>
      <c r="P7" t="s">
        <v>39</v>
      </c>
      <c r="Q7">
        <v>2</v>
      </c>
      <c r="R7" t="s">
        <v>30</v>
      </c>
      <c r="S7" t="s">
        <v>30</v>
      </c>
      <c r="T7" t="s">
        <v>31</v>
      </c>
    </row>
    <row r="8" spans="1:20" x14ac:dyDescent="0.35">
      <c r="A8" t="s">
        <v>49</v>
      </c>
      <c r="B8">
        <v>24</v>
      </c>
      <c r="C8" t="s">
        <v>33</v>
      </c>
      <c r="D8" t="s">
        <v>41</v>
      </c>
      <c r="E8">
        <v>311850</v>
      </c>
      <c r="F8" s="1" t="s">
        <v>1061</v>
      </c>
      <c r="G8" t="s">
        <v>24</v>
      </c>
      <c r="H8">
        <v>3</v>
      </c>
      <c r="I8" t="s">
        <v>25</v>
      </c>
      <c r="J8">
        <v>4</v>
      </c>
      <c r="K8" t="s">
        <v>42</v>
      </c>
      <c r="L8">
        <v>53</v>
      </c>
      <c r="M8" t="s">
        <v>27</v>
      </c>
      <c r="N8" t="s">
        <v>28</v>
      </c>
      <c r="O8">
        <v>1</v>
      </c>
      <c r="P8" t="s">
        <v>29</v>
      </c>
      <c r="Q8">
        <v>1</v>
      </c>
      <c r="R8" t="s">
        <v>27</v>
      </c>
      <c r="S8" t="s">
        <v>30</v>
      </c>
      <c r="T8" t="s">
        <v>31</v>
      </c>
    </row>
    <row r="9" spans="1:20" x14ac:dyDescent="0.35">
      <c r="A9" t="s">
        <v>50</v>
      </c>
      <c r="B9">
        <v>36</v>
      </c>
      <c r="C9" t="s">
        <v>33</v>
      </c>
      <c r="D9" t="s">
        <v>51</v>
      </c>
      <c r="E9">
        <v>764280</v>
      </c>
      <c r="F9" s="2" t="s">
        <v>1060</v>
      </c>
      <c r="G9" t="s">
        <v>34</v>
      </c>
      <c r="H9">
        <v>2</v>
      </c>
      <c r="I9" t="s">
        <v>25</v>
      </c>
      <c r="J9">
        <v>2</v>
      </c>
      <c r="K9" t="s">
        <v>52</v>
      </c>
      <c r="L9">
        <v>35</v>
      </c>
      <c r="M9" t="s">
        <v>27</v>
      </c>
      <c r="N9" t="s">
        <v>53</v>
      </c>
      <c r="O9">
        <v>1</v>
      </c>
      <c r="P9" t="s">
        <v>54</v>
      </c>
      <c r="Q9">
        <v>1</v>
      </c>
      <c r="R9" t="s">
        <v>30</v>
      </c>
      <c r="S9" t="s">
        <v>30</v>
      </c>
      <c r="T9" t="s">
        <v>31</v>
      </c>
    </row>
    <row r="10" spans="1:20" x14ac:dyDescent="0.35">
      <c r="A10" t="s">
        <v>55</v>
      </c>
      <c r="B10">
        <v>12</v>
      </c>
      <c r="C10" t="s">
        <v>33</v>
      </c>
      <c r="D10" t="s">
        <v>22</v>
      </c>
      <c r="E10">
        <v>336490</v>
      </c>
      <c r="F10" s="1" t="s">
        <v>1062</v>
      </c>
      <c r="G10" t="s">
        <v>38</v>
      </c>
      <c r="H10">
        <v>2</v>
      </c>
      <c r="I10" t="s">
        <v>25</v>
      </c>
      <c r="J10">
        <v>4</v>
      </c>
      <c r="K10" t="s">
        <v>26</v>
      </c>
      <c r="L10">
        <v>61</v>
      </c>
      <c r="M10" t="s">
        <v>27</v>
      </c>
      <c r="N10" t="s">
        <v>28</v>
      </c>
      <c r="O10">
        <v>1</v>
      </c>
      <c r="P10" t="s">
        <v>39</v>
      </c>
      <c r="Q10">
        <v>1</v>
      </c>
      <c r="R10" t="s">
        <v>27</v>
      </c>
      <c r="S10" t="s">
        <v>30</v>
      </c>
      <c r="T10" t="s">
        <v>31</v>
      </c>
    </row>
    <row r="11" spans="1:20" x14ac:dyDescent="0.35">
      <c r="A11" t="s">
        <v>56</v>
      </c>
      <c r="B11">
        <v>30</v>
      </c>
      <c r="C11" t="s">
        <v>21</v>
      </c>
      <c r="D11" t="s">
        <v>46</v>
      </c>
      <c r="E11">
        <v>575740</v>
      </c>
      <c r="F11" s="2" t="s">
        <v>1060</v>
      </c>
      <c r="G11" t="s">
        <v>57</v>
      </c>
      <c r="H11">
        <v>4</v>
      </c>
      <c r="I11" t="s">
        <v>25</v>
      </c>
      <c r="J11">
        <v>2</v>
      </c>
      <c r="K11" t="s">
        <v>52</v>
      </c>
      <c r="L11">
        <v>28</v>
      </c>
      <c r="M11" t="s">
        <v>27</v>
      </c>
      <c r="N11" t="s">
        <v>28</v>
      </c>
      <c r="O11">
        <v>2</v>
      </c>
      <c r="P11" t="s">
        <v>54</v>
      </c>
      <c r="Q11">
        <v>1</v>
      </c>
      <c r="R11" t="s">
        <v>27</v>
      </c>
      <c r="S11" t="s">
        <v>30</v>
      </c>
      <c r="T11" t="s">
        <v>31</v>
      </c>
    </row>
    <row r="12" spans="1:20" x14ac:dyDescent="0.35">
      <c r="A12" t="s">
        <v>58</v>
      </c>
      <c r="B12">
        <v>12</v>
      </c>
      <c r="C12" t="s">
        <v>33</v>
      </c>
      <c r="D12" t="s">
        <v>46</v>
      </c>
      <c r="E12">
        <v>142450</v>
      </c>
      <c r="F12" s="1" t="s">
        <v>1060</v>
      </c>
      <c r="G12" t="s">
        <v>59</v>
      </c>
      <c r="H12">
        <v>3</v>
      </c>
      <c r="I12" t="s">
        <v>35</v>
      </c>
      <c r="J12">
        <v>1</v>
      </c>
      <c r="K12" t="s">
        <v>52</v>
      </c>
      <c r="L12">
        <v>25</v>
      </c>
      <c r="M12" t="s">
        <v>27</v>
      </c>
      <c r="N12" t="s">
        <v>53</v>
      </c>
      <c r="O12">
        <v>1</v>
      </c>
      <c r="P12" t="s">
        <v>29</v>
      </c>
      <c r="Q12">
        <v>1</v>
      </c>
      <c r="R12" t="s">
        <v>27</v>
      </c>
      <c r="S12" t="s">
        <v>30</v>
      </c>
      <c r="T12" t="s">
        <v>31</v>
      </c>
    </row>
    <row r="13" spans="1:20" x14ac:dyDescent="0.35">
      <c r="A13" t="s">
        <v>60</v>
      </c>
      <c r="B13">
        <v>48</v>
      </c>
      <c r="C13" t="s">
        <v>33</v>
      </c>
      <c r="D13" t="s">
        <v>61</v>
      </c>
      <c r="E13">
        <v>473880</v>
      </c>
      <c r="F13" s="2" t="s">
        <v>1060</v>
      </c>
      <c r="G13" t="s">
        <v>59</v>
      </c>
      <c r="H13">
        <v>3</v>
      </c>
      <c r="I13" t="s">
        <v>35</v>
      </c>
      <c r="J13">
        <v>4</v>
      </c>
      <c r="K13" t="s">
        <v>42</v>
      </c>
      <c r="L13">
        <v>24</v>
      </c>
      <c r="M13" t="s">
        <v>27</v>
      </c>
      <c r="N13" t="s">
        <v>53</v>
      </c>
      <c r="O13">
        <v>1</v>
      </c>
      <c r="P13" t="s">
        <v>29</v>
      </c>
      <c r="Q13">
        <v>1</v>
      </c>
      <c r="R13" t="s">
        <v>27</v>
      </c>
      <c r="S13" t="s">
        <v>30</v>
      </c>
      <c r="T13" t="s">
        <v>31</v>
      </c>
    </row>
    <row r="14" spans="1:20" x14ac:dyDescent="0.35">
      <c r="A14" t="s">
        <v>62</v>
      </c>
      <c r="B14">
        <v>12</v>
      </c>
      <c r="C14" t="s">
        <v>33</v>
      </c>
      <c r="D14" t="s">
        <v>22</v>
      </c>
      <c r="E14">
        <v>172370</v>
      </c>
      <c r="F14" s="1" t="s">
        <v>1060</v>
      </c>
      <c r="G14" t="s">
        <v>34</v>
      </c>
      <c r="H14">
        <v>1</v>
      </c>
      <c r="I14" t="s">
        <v>35</v>
      </c>
      <c r="J14">
        <v>1</v>
      </c>
      <c r="K14" t="s">
        <v>52</v>
      </c>
      <c r="L14">
        <v>22</v>
      </c>
      <c r="M14" t="s">
        <v>27</v>
      </c>
      <c r="N14" t="s">
        <v>28</v>
      </c>
      <c r="O14">
        <v>1</v>
      </c>
      <c r="P14" t="s">
        <v>29</v>
      </c>
      <c r="Q14">
        <v>1</v>
      </c>
      <c r="R14" t="s">
        <v>30</v>
      </c>
      <c r="S14" t="s">
        <v>30</v>
      </c>
      <c r="T14" t="s">
        <v>31</v>
      </c>
    </row>
    <row r="15" spans="1:20" x14ac:dyDescent="0.35">
      <c r="A15" t="s">
        <v>63</v>
      </c>
      <c r="B15">
        <v>24</v>
      </c>
      <c r="C15" t="s">
        <v>21</v>
      </c>
      <c r="D15" t="s">
        <v>46</v>
      </c>
      <c r="E15">
        <v>131890</v>
      </c>
      <c r="F15" s="2" t="s">
        <v>1060</v>
      </c>
      <c r="G15" t="s">
        <v>24</v>
      </c>
      <c r="H15">
        <v>4</v>
      </c>
      <c r="I15" t="s">
        <v>25</v>
      </c>
      <c r="J15">
        <v>4</v>
      </c>
      <c r="K15" t="s">
        <v>52</v>
      </c>
      <c r="L15">
        <v>60</v>
      </c>
      <c r="M15" t="s">
        <v>27</v>
      </c>
      <c r="N15" t="s">
        <v>28</v>
      </c>
      <c r="O15">
        <v>2</v>
      </c>
      <c r="P15" t="s">
        <v>39</v>
      </c>
      <c r="Q15">
        <v>1</v>
      </c>
      <c r="R15" t="s">
        <v>27</v>
      </c>
      <c r="S15" t="s">
        <v>30</v>
      </c>
      <c r="T15" t="s">
        <v>31</v>
      </c>
    </row>
    <row r="16" spans="1:20" x14ac:dyDescent="0.35">
      <c r="A16" t="s">
        <v>64</v>
      </c>
      <c r="B16">
        <v>15</v>
      </c>
      <c r="C16" t="s">
        <v>33</v>
      </c>
      <c r="D16" t="s">
        <v>46</v>
      </c>
      <c r="E16">
        <v>154330</v>
      </c>
      <c r="F16" s="1" t="s">
        <v>1060</v>
      </c>
      <c r="G16" t="s">
        <v>34</v>
      </c>
      <c r="H16">
        <v>2</v>
      </c>
      <c r="I16" t="s">
        <v>35</v>
      </c>
      <c r="J16">
        <v>4</v>
      </c>
      <c r="K16" t="s">
        <v>52</v>
      </c>
      <c r="L16">
        <v>28</v>
      </c>
      <c r="M16" t="s">
        <v>27</v>
      </c>
      <c r="N16" t="s">
        <v>53</v>
      </c>
      <c r="O16">
        <v>1</v>
      </c>
      <c r="P16" t="s">
        <v>29</v>
      </c>
      <c r="Q16">
        <v>1</v>
      </c>
      <c r="R16" t="s">
        <v>27</v>
      </c>
      <c r="S16" t="s">
        <v>30</v>
      </c>
      <c r="T16" t="s">
        <v>31</v>
      </c>
    </row>
    <row r="17" spans="1:20" x14ac:dyDescent="0.35">
      <c r="A17" t="s">
        <v>65</v>
      </c>
      <c r="B17">
        <v>24</v>
      </c>
      <c r="C17" t="s">
        <v>33</v>
      </c>
      <c r="D17" t="s">
        <v>22</v>
      </c>
      <c r="E17">
        <v>141020</v>
      </c>
      <c r="F17" s="2" t="s">
        <v>1063</v>
      </c>
      <c r="G17" t="s">
        <v>34</v>
      </c>
      <c r="H17">
        <v>4</v>
      </c>
      <c r="I17" t="s">
        <v>35</v>
      </c>
      <c r="J17">
        <v>2</v>
      </c>
      <c r="K17" t="s">
        <v>52</v>
      </c>
      <c r="L17">
        <v>32</v>
      </c>
      <c r="M17" t="s">
        <v>27</v>
      </c>
      <c r="N17" t="s">
        <v>28</v>
      </c>
      <c r="O17">
        <v>1</v>
      </c>
      <c r="P17" t="s">
        <v>39</v>
      </c>
      <c r="Q17">
        <v>1</v>
      </c>
      <c r="R17" t="s">
        <v>27</v>
      </c>
      <c r="S17" t="s">
        <v>30</v>
      </c>
      <c r="T17" t="s">
        <v>31</v>
      </c>
    </row>
    <row r="18" spans="1:20" x14ac:dyDescent="0.35">
      <c r="A18" t="s">
        <v>66</v>
      </c>
      <c r="B18">
        <v>24</v>
      </c>
      <c r="C18" t="s">
        <v>21</v>
      </c>
      <c r="D18" t="s">
        <v>22</v>
      </c>
      <c r="E18">
        <v>266640</v>
      </c>
      <c r="F18" s="1" t="s">
        <v>23</v>
      </c>
      <c r="G18" t="s">
        <v>24</v>
      </c>
      <c r="H18">
        <v>4</v>
      </c>
      <c r="I18" t="s">
        <v>25</v>
      </c>
      <c r="J18">
        <v>4</v>
      </c>
      <c r="K18" t="s">
        <v>42</v>
      </c>
      <c r="L18">
        <v>53</v>
      </c>
      <c r="M18" t="s">
        <v>27</v>
      </c>
      <c r="N18" t="s">
        <v>28</v>
      </c>
      <c r="O18">
        <v>2</v>
      </c>
      <c r="P18" t="s">
        <v>29</v>
      </c>
      <c r="Q18">
        <v>1</v>
      </c>
      <c r="R18" t="s">
        <v>27</v>
      </c>
      <c r="S18" t="s">
        <v>30</v>
      </c>
      <c r="T18" t="s">
        <v>31</v>
      </c>
    </row>
    <row r="19" spans="1:20" x14ac:dyDescent="0.35">
      <c r="A19" t="s">
        <v>67</v>
      </c>
      <c r="B19">
        <v>30</v>
      </c>
      <c r="C19" t="s">
        <v>68</v>
      </c>
      <c r="D19" t="s">
        <v>61</v>
      </c>
      <c r="E19">
        <v>887920</v>
      </c>
      <c r="F19" s="2" t="s">
        <v>23</v>
      </c>
      <c r="G19" t="s">
        <v>59</v>
      </c>
      <c r="H19">
        <v>2</v>
      </c>
      <c r="I19" t="s">
        <v>25</v>
      </c>
      <c r="J19">
        <v>3</v>
      </c>
      <c r="K19" t="s">
        <v>52</v>
      </c>
      <c r="L19">
        <v>25</v>
      </c>
      <c r="M19" t="s">
        <v>69</v>
      </c>
      <c r="N19" t="s">
        <v>28</v>
      </c>
      <c r="O19">
        <v>3</v>
      </c>
      <c r="P19" t="s">
        <v>29</v>
      </c>
      <c r="Q19">
        <v>1</v>
      </c>
      <c r="R19" t="s">
        <v>27</v>
      </c>
      <c r="S19" t="s">
        <v>30</v>
      </c>
      <c r="T19" t="s">
        <v>31</v>
      </c>
    </row>
    <row r="20" spans="1:20" x14ac:dyDescent="0.35">
      <c r="A20" t="s">
        <v>70</v>
      </c>
      <c r="B20">
        <v>24</v>
      </c>
      <c r="C20" t="s">
        <v>33</v>
      </c>
      <c r="D20" t="s">
        <v>51</v>
      </c>
      <c r="E20">
        <v>1383690</v>
      </c>
      <c r="F20" s="1" t="s">
        <v>1060</v>
      </c>
      <c r="G20" t="s">
        <v>24</v>
      </c>
      <c r="H20">
        <v>4</v>
      </c>
      <c r="I20" t="s">
        <v>35</v>
      </c>
      <c r="J20">
        <v>2</v>
      </c>
      <c r="K20" t="s">
        <v>47</v>
      </c>
      <c r="L20">
        <v>44</v>
      </c>
      <c r="M20" t="s">
        <v>27</v>
      </c>
      <c r="N20" t="s">
        <v>43</v>
      </c>
      <c r="O20">
        <v>1</v>
      </c>
      <c r="P20" t="s">
        <v>54</v>
      </c>
      <c r="Q20">
        <v>1</v>
      </c>
      <c r="R20" t="s">
        <v>30</v>
      </c>
      <c r="S20" t="s">
        <v>30</v>
      </c>
      <c r="T20" t="s">
        <v>31</v>
      </c>
    </row>
    <row r="21" spans="1:20" x14ac:dyDescent="0.35">
      <c r="A21" t="s">
        <v>71</v>
      </c>
      <c r="B21">
        <v>24</v>
      </c>
      <c r="C21" t="s">
        <v>33</v>
      </c>
      <c r="D21" t="s">
        <v>22</v>
      </c>
      <c r="E21">
        <v>377300</v>
      </c>
      <c r="F21" s="2" t="s">
        <v>1061</v>
      </c>
      <c r="G21" t="s">
        <v>24</v>
      </c>
      <c r="H21">
        <v>3</v>
      </c>
      <c r="I21" t="s">
        <v>25</v>
      </c>
      <c r="J21">
        <v>2</v>
      </c>
      <c r="K21" t="s">
        <v>52</v>
      </c>
      <c r="L21">
        <v>31</v>
      </c>
      <c r="M21" t="s">
        <v>27</v>
      </c>
      <c r="N21" t="s">
        <v>28</v>
      </c>
      <c r="O21">
        <v>1</v>
      </c>
      <c r="P21" t="s">
        <v>29</v>
      </c>
      <c r="Q21">
        <v>2</v>
      </c>
      <c r="R21" t="s">
        <v>30</v>
      </c>
      <c r="S21" t="s">
        <v>30</v>
      </c>
      <c r="T21" t="s">
        <v>31</v>
      </c>
    </row>
    <row r="22" spans="1:20" x14ac:dyDescent="0.35">
      <c r="A22" t="s">
        <v>72</v>
      </c>
      <c r="B22">
        <v>9</v>
      </c>
      <c r="C22" t="s">
        <v>21</v>
      </c>
      <c r="D22" t="s">
        <v>46</v>
      </c>
      <c r="E22">
        <v>234740</v>
      </c>
      <c r="F22" s="1" t="s">
        <v>1060</v>
      </c>
      <c r="G22" t="s">
        <v>34</v>
      </c>
      <c r="H22">
        <v>4</v>
      </c>
      <c r="I22" t="s">
        <v>25</v>
      </c>
      <c r="J22">
        <v>4</v>
      </c>
      <c r="K22" t="s">
        <v>52</v>
      </c>
      <c r="L22">
        <v>48</v>
      </c>
      <c r="M22" t="s">
        <v>27</v>
      </c>
      <c r="N22" t="s">
        <v>28</v>
      </c>
      <c r="O22">
        <v>3</v>
      </c>
      <c r="P22" t="s">
        <v>29</v>
      </c>
      <c r="Q22">
        <v>1</v>
      </c>
      <c r="R22" t="s">
        <v>30</v>
      </c>
      <c r="S22" t="s">
        <v>30</v>
      </c>
      <c r="T22" t="s">
        <v>31</v>
      </c>
    </row>
    <row r="23" spans="1:20" x14ac:dyDescent="0.35">
      <c r="A23" t="s">
        <v>73</v>
      </c>
      <c r="B23">
        <v>6</v>
      </c>
      <c r="C23" t="s">
        <v>33</v>
      </c>
      <c r="D23" t="s">
        <v>22</v>
      </c>
      <c r="E23">
        <v>291170</v>
      </c>
      <c r="F23" s="2" t="s">
        <v>1061</v>
      </c>
      <c r="G23" t="s">
        <v>34</v>
      </c>
      <c r="H23">
        <v>2</v>
      </c>
      <c r="I23" t="s">
        <v>25</v>
      </c>
      <c r="J23">
        <v>3</v>
      </c>
      <c r="K23" t="s">
        <v>26</v>
      </c>
      <c r="L23">
        <v>44</v>
      </c>
      <c r="M23" t="s">
        <v>27</v>
      </c>
      <c r="N23" t="s">
        <v>53</v>
      </c>
      <c r="O23">
        <v>1</v>
      </c>
      <c r="P23" t="s">
        <v>29</v>
      </c>
      <c r="Q23">
        <v>2</v>
      </c>
      <c r="R23" t="s">
        <v>27</v>
      </c>
      <c r="S23" t="s">
        <v>30</v>
      </c>
      <c r="T23" t="s">
        <v>31</v>
      </c>
    </row>
    <row r="24" spans="1:20" x14ac:dyDescent="0.35">
      <c r="A24" t="s">
        <v>74</v>
      </c>
      <c r="B24">
        <v>10</v>
      </c>
      <c r="C24" t="s">
        <v>21</v>
      </c>
      <c r="D24" t="s">
        <v>46</v>
      </c>
      <c r="E24">
        <v>246510</v>
      </c>
      <c r="F24" s="1" t="s">
        <v>1060</v>
      </c>
      <c r="G24" t="s">
        <v>59</v>
      </c>
      <c r="H24">
        <v>1</v>
      </c>
      <c r="I24" t="s">
        <v>25</v>
      </c>
      <c r="J24">
        <v>3</v>
      </c>
      <c r="K24" t="s">
        <v>26</v>
      </c>
      <c r="L24">
        <v>48</v>
      </c>
      <c r="M24" t="s">
        <v>27</v>
      </c>
      <c r="N24" t="s">
        <v>53</v>
      </c>
      <c r="O24">
        <v>2</v>
      </c>
      <c r="P24" t="s">
        <v>39</v>
      </c>
      <c r="Q24">
        <v>2</v>
      </c>
      <c r="R24" t="s">
        <v>27</v>
      </c>
      <c r="S24" t="s">
        <v>75</v>
      </c>
      <c r="T24" t="s">
        <v>31</v>
      </c>
    </row>
    <row r="25" spans="1:20" x14ac:dyDescent="0.35">
      <c r="A25" t="s">
        <v>76</v>
      </c>
      <c r="B25">
        <v>12</v>
      </c>
      <c r="C25" t="s">
        <v>21</v>
      </c>
      <c r="D25" t="s">
        <v>51</v>
      </c>
      <c r="E25">
        <v>198440</v>
      </c>
      <c r="F25" s="2" t="s">
        <v>1063</v>
      </c>
      <c r="G25" t="s">
        <v>59</v>
      </c>
      <c r="H25">
        <v>3</v>
      </c>
      <c r="I25" t="s">
        <v>25</v>
      </c>
      <c r="J25">
        <v>4</v>
      </c>
      <c r="K25" t="s">
        <v>42</v>
      </c>
      <c r="L25">
        <v>44</v>
      </c>
      <c r="M25" t="s">
        <v>27</v>
      </c>
      <c r="N25" t="s">
        <v>28</v>
      </c>
      <c r="O25">
        <v>1</v>
      </c>
      <c r="P25" t="s">
        <v>29</v>
      </c>
      <c r="Q25">
        <v>1</v>
      </c>
      <c r="R25" t="s">
        <v>27</v>
      </c>
      <c r="S25" t="s">
        <v>30</v>
      </c>
      <c r="T25" t="s">
        <v>31</v>
      </c>
    </row>
    <row r="26" spans="1:20" x14ac:dyDescent="0.35">
      <c r="A26" t="s">
        <v>77</v>
      </c>
      <c r="B26">
        <v>10</v>
      </c>
      <c r="C26" t="s">
        <v>21</v>
      </c>
      <c r="D26" t="s">
        <v>41</v>
      </c>
      <c r="E26">
        <v>227590</v>
      </c>
      <c r="F26" s="1" t="s">
        <v>23</v>
      </c>
      <c r="G26" t="s">
        <v>34</v>
      </c>
      <c r="H26">
        <v>2</v>
      </c>
      <c r="I26" t="s">
        <v>25</v>
      </c>
      <c r="J26">
        <v>1</v>
      </c>
      <c r="K26" t="s">
        <v>52</v>
      </c>
      <c r="L26">
        <v>26</v>
      </c>
      <c r="M26" t="s">
        <v>27</v>
      </c>
      <c r="N26" t="s">
        <v>28</v>
      </c>
      <c r="O26">
        <v>2</v>
      </c>
      <c r="P26" t="s">
        <v>29</v>
      </c>
      <c r="Q26">
        <v>1</v>
      </c>
      <c r="R26" t="s">
        <v>27</v>
      </c>
      <c r="S26" t="s">
        <v>75</v>
      </c>
      <c r="T26" t="s">
        <v>31</v>
      </c>
    </row>
    <row r="27" spans="1:20" x14ac:dyDescent="0.35">
      <c r="A27" t="s">
        <v>78</v>
      </c>
      <c r="B27">
        <v>6</v>
      </c>
      <c r="C27" t="s">
        <v>33</v>
      </c>
      <c r="D27" t="s">
        <v>41</v>
      </c>
      <c r="E27">
        <v>151140</v>
      </c>
      <c r="F27" s="2" t="s">
        <v>1060</v>
      </c>
      <c r="G27" t="s">
        <v>34</v>
      </c>
      <c r="H27">
        <v>1</v>
      </c>
      <c r="I27" t="s">
        <v>25</v>
      </c>
      <c r="J27">
        <v>2</v>
      </c>
      <c r="K27" t="s">
        <v>26</v>
      </c>
      <c r="L27">
        <v>36</v>
      </c>
      <c r="M27" t="s">
        <v>69</v>
      </c>
      <c r="N27" t="s">
        <v>28</v>
      </c>
      <c r="O27">
        <v>1</v>
      </c>
      <c r="P27" t="s">
        <v>39</v>
      </c>
      <c r="Q27">
        <v>1</v>
      </c>
      <c r="R27" t="s">
        <v>30</v>
      </c>
      <c r="S27" t="s">
        <v>30</v>
      </c>
      <c r="T27" t="s">
        <v>31</v>
      </c>
    </row>
    <row r="28" spans="1:20" x14ac:dyDescent="0.35">
      <c r="A28" t="s">
        <v>79</v>
      </c>
      <c r="B28">
        <v>6</v>
      </c>
      <c r="C28" t="s">
        <v>68</v>
      </c>
      <c r="D28" t="s">
        <v>22</v>
      </c>
      <c r="E28">
        <v>46860</v>
      </c>
      <c r="F28" s="1" t="s">
        <v>1060</v>
      </c>
      <c r="G28" t="s">
        <v>24</v>
      </c>
      <c r="H28">
        <v>4</v>
      </c>
      <c r="I28" t="s">
        <v>25</v>
      </c>
      <c r="J28">
        <v>4</v>
      </c>
      <c r="K28" t="s">
        <v>52</v>
      </c>
      <c r="L28">
        <v>39</v>
      </c>
      <c r="M28" t="s">
        <v>27</v>
      </c>
      <c r="N28" t="s">
        <v>28</v>
      </c>
      <c r="O28">
        <v>1</v>
      </c>
      <c r="P28" t="s">
        <v>39</v>
      </c>
      <c r="Q28">
        <v>1</v>
      </c>
      <c r="R28" t="s">
        <v>27</v>
      </c>
      <c r="S28" t="s">
        <v>30</v>
      </c>
      <c r="T28" t="s">
        <v>31</v>
      </c>
    </row>
    <row r="29" spans="1:20" x14ac:dyDescent="0.35">
      <c r="A29" t="s">
        <v>80</v>
      </c>
      <c r="B29">
        <v>12</v>
      </c>
      <c r="C29" t="s">
        <v>81</v>
      </c>
      <c r="D29" t="s">
        <v>22</v>
      </c>
      <c r="E29">
        <v>44990</v>
      </c>
      <c r="F29" s="2" t="s">
        <v>1062</v>
      </c>
      <c r="G29" t="s">
        <v>34</v>
      </c>
      <c r="H29">
        <v>3</v>
      </c>
      <c r="I29" t="s">
        <v>35</v>
      </c>
      <c r="J29">
        <v>3</v>
      </c>
      <c r="K29" t="s">
        <v>26</v>
      </c>
      <c r="L29">
        <v>42</v>
      </c>
      <c r="M29" t="s">
        <v>27</v>
      </c>
      <c r="N29" t="s">
        <v>53</v>
      </c>
      <c r="O29">
        <v>2</v>
      </c>
      <c r="P29" t="s">
        <v>29</v>
      </c>
      <c r="Q29">
        <v>1</v>
      </c>
      <c r="R29" t="s">
        <v>27</v>
      </c>
      <c r="S29" t="s">
        <v>30</v>
      </c>
      <c r="T29" t="s">
        <v>31</v>
      </c>
    </row>
    <row r="30" spans="1:20" x14ac:dyDescent="0.35">
      <c r="A30" t="s">
        <v>82</v>
      </c>
      <c r="B30">
        <v>7</v>
      </c>
      <c r="C30" t="s">
        <v>33</v>
      </c>
      <c r="D30" t="s">
        <v>22</v>
      </c>
      <c r="E30">
        <v>265650</v>
      </c>
      <c r="F30" s="1" t="s">
        <v>1060</v>
      </c>
      <c r="G30" t="s">
        <v>34</v>
      </c>
      <c r="H30">
        <v>3</v>
      </c>
      <c r="I30" t="s">
        <v>25</v>
      </c>
      <c r="J30">
        <v>2</v>
      </c>
      <c r="K30" t="s">
        <v>26</v>
      </c>
      <c r="L30">
        <v>34</v>
      </c>
      <c r="M30" t="s">
        <v>27</v>
      </c>
      <c r="N30" t="s">
        <v>28</v>
      </c>
      <c r="O30">
        <v>1</v>
      </c>
      <c r="P30" t="s">
        <v>29</v>
      </c>
      <c r="Q30">
        <v>1</v>
      </c>
      <c r="R30" t="s">
        <v>27</v>
      </c>
      <c r="S30" t="s">
        <v>30</v>
      </c>
      <c r="T30" t="s">
        <v>31</v>
      </c>
    </row>
    <row r="31" spans="1:20" x14ac:dyDescent="0.35">
      <c r="A31" t="s">
        <v>83</v>
      </c>
      <c r="B31">
        <v>60</v>
      </c>
      <c r="C31" t="s">
        <v>45</v>
      </c>
      <c r="D31" t="s">
        <v>61</v>
      </c>
      <c r="E31">
        <v>751960</v>
      </c>
      <c r="F31" s="2" t="s">
        <v>1060</v>
      </c>
      <c r="G31" t="s">
        <v>24</v>
      </c>
      <c r="H31">
        <v>3</v>
      </c>
      <c r="I31" t="s">
        <v>25</v>
      </c>
      <c r="J31">
        <v>4</v>
      </c>
      <c r="K31" t="s">
        <v>47</v>
      </c>
      <c r="L31">
        <v>63</v>
      </c>
      <c r="M31" t="s">
        <v>27</v>
      </c>
      <c r="N31" t="s">
        <v>28</v>
      </c>
      <c r="O31">
        <v>2</v>
      </c>
      <c r="P31" t="s">
        <v>29</v>
      </c>
      <c r="Q31">
        <v>1</v>
      </c>
      <c r="R31" t="s">
        <v>30</v>
      </c>
      <c r="S31" t="s">
        <v>30</v>
      </c>
      <c r="T31" t="s">
        <v>31</v>
      </c>
    </row>
    <row r="32" spans="1:20" x14ac:dyDescent="0.35">
      <c r="A32" t="s">
        <v>84</v>
      </c>
      <c r="B32">
        <v>18</v>
      </c>
      <c r="C32" t="s">
        <v>33</v>
      </c>
      <c r="D32" t="s">
        <v>61</v>
      </c>
      <c r="E32">
        <v>210430</v>
      </c>
      <c r="F32" s="1" t="s">
        <v>1062</v>
      </c>
      <c r="G32" t="s">
        <v>59</v>
      </c>
      <c r="H32">
        <v>3</v>
      </c>
      <c r="I32" t="s">
        <v>25</v>
      </c>
      <c r="J32">
        <v>3</v>
      </c>
      <c r="K32" t="s">
        <v>26</v>
      </c>
      <c r="L32">
        <v>36</v>
      </c>
      <c r="M32" t="s">
        <v>69</v>
      </c>
      <c r="N32" t="s">
        <v>28</v>
      </c>
      <c r="O32">
        <v>1</v>
      </c>
      <c r="P32" t="s">
        <v>29</v>
      </c>
      <c r="Q32">
        <v>1</v>
      </c>
      <c r="R32" t="s">
        <v>30</v>
      </c>
      <c r="S32" t="s">
        <v>30</v>
      </c>
      <c r="T32" t="s">
        <v>31</v>
      </c>
    </row>
    <row r="33" spans="1:20" x14ac:dyDescent="0.35">
      <c r="A33" t="s">
        <v>85</v>
      </c>
      <c r="B33">
        <v>24</v>
      </c>
      <c r="C33" t="s">
        <v>33</v>
      </c>
      <c r="D33" t="s">
        <v>41</v>
      </c>
      <c r="E33">
        <v>442200</v>
      </c>
      <c r="F33" s="2" t="s">
        <v>1060</v>
      </c>
      <c r="G33" t="s">
        <v>34</v>
      </c>
      <c r="H33">
        <v>2</v>
      </c>
      <c r="I33" t="s">
        <v>25</v>
      </c>
      <c r="J33">
        <v>2</v>
      </c>
      <c r="K33" t="s">
        <v>52</v>
      </c>
      <c r="L33">
        <v>27</v>
      </c>
      <c r="M33" t="s">
        <v>86</v>
      </c>
      <c r="N33" t="s">
        <v>28</v>
      </c>
      <c r="O33">
        <v>1</v>
      </c>
      <c r="P33" t="s">
        <v>29</v>
      </c>
      <c r="Q33">
        <v>1</v>
      </c>
      <c r="R33" t="s">
        <v>27</v>
      </c>
      <c r="S33" t="s">
        <v>30</v>
      </c>
      <c r="T33" t="s">
        <v>31</v>
      </c>
    </row>
    <row r="34" spans="1:20" x14ac:dyDescent="0.35">
      <c r="A34" t="s">
        <v>87</v>
      </c>
      <c r="B34">
        <v>18</v>
      </c>
      <c r="C34" t="s">
        <v>33</v>
      </c>
      <c r="D34" t="s">
        <v>46</v>
      </c>
      <c r="E34">
        <v>645260</v>
      </c>
      <c r="F34" s="1" t="s">
        <v>1063</v>
      </c>
      <c r="G34" t="s">
        <v>34</v>
      </c>
      <c r="H34">
        <v>2</v>
      </c>
      <c r="I34" t="s">
        <v>25</v>
      </c>
      <c r="J34">
        <v>2</v>
      </c>
      <c r="K34" t="s">
        <v>52</v>
      </c>
      <c r="L34">
        <v>30</v>
      </c>
      <c r="M34" t="s">
        <v>27</v>
      </c>
      <c r="N34" t="s">
        <v>28</v>
      </c>
      <c r="O34">
        <v>2</v>
      </c>
      <c r="P34" t="s">
        <v>29</v>
      </c>
      <c r="Q34">
        <v>1</v>
      </c>
      <c r="R34" t="s">
        <v>30</v>
      </c>
      <c r="S34" t="s">
        <v>30</v>
      </c>
      <c r="T34" t="s">
        <v>31</v>
      </c>
    </row>
    <row r="35" spans="1:20" x14ac:dyDescent="0.35">
      <c r="A35" t="s">
        <v>88</v>
      </c>
      <c r="B35">
        <v>12</v>
      </c>
      <c r="C35" t="s">
        <v>21</v>
      </c>
      <c r="D35" t="s">
        <v>61</v>
      </c>
      <c r="E35">
        <v>139040</v>
      </c>
      <c r="F35" s="2" t="s">
        <v>23</v>
      </c>
      <c r="G35" t="s">
        <v>24</v>
      </c>
      <c r="H35">
        <v>4</v>
      </c>
      <c r="I35" t="s">
        <v>25</v>
      </c>
      <c r="J35">
        <v>4</v>
      </c>
      <c r="K35" t="s">
        <v>47</v>
      </c>
      <c r="L35">
        <v>57</v>
      </c>
      <c r="M35" t="s">
        <v>27</v>
      </c>
      <c r="N35" t="s">
        <v>53</v>
      </c>
      <c r="O35">
        <v>1</v>
      </c>
      <c r="P35" t="s">
        <v>39</v>
      </c>
      <c r="Q35">
        <v>1</v>
      </c>
      <c r="R35" t="s">
        <v>27</v>
      </c>
      <c r="S35" t="s">
        <v>30</v>
      </c>
      <c r="T35" t="s">
        <v>31</v>
      </c>
    </row>
    <row r="36" spans="1:20" x14ac:dyDescent="0.35">
      <c r="A36" t="s">
        <v>89</v>
      </c>
      <c r="B36">
        <v>12</v>
      </c>
      <c r="C36" t="s">
        <v>33</v>
      </c>
      <c r="D36" t="s">
        <v>41</v>
      </c>
      <c r="E36">
        <v>162140</v>
      </c>
      <c r="F36" s="1" t="s">
        <v>1060</v>
      </c>
      <c r="G36" t="s">
        <v>59</v>
      </c>
      <c r="H36">
        <v>4</v>
      </c>
      <c r="I36" t="s">
        <v>35</v>
      </c>
      <c r="J36">
        <v>1</v>
      </c>
      <c r="K36" t="s">
        <v>42</v>
      </c>
      <c r="L36">
        <v>33</v>
      </c>
      <c r="M36" t="s">
        <v>69</v>
      </c>
      <c r="N36" t="s">
        <v>28</v>
      </c>
      <c r="O36">
        <v>1</v>
      </c>
      <c r="P36" t="s">
        <v>54</v>
      </c>
      <c r="Q36">
        <v>1</v>
      </c>
      <c r="R36" t="s">
        <v>30</v>
      </c>
      <c r="S36" t="s">
        <v>30</v>
      </c>
      <c r="T36" t="s">
        <v>31</v>
      </c>
    </row>
    <row r="37" spans="1:20" x14ac:dyDescent="0.35">
      <c r="A37" t="s">
        <v>90</v>
      </c>
      <c r="B37">
        <v>45</v>
      </c>
      <c r="C37" t="s">
        <v>21</v>
      </c>
      <c r="D37" t="s">
        <v>22</v>
      </c>
      <c r="E37">
        <v>522060</v>
      </c>
      <c r="F37" s="2" t="s">
        <v>1060</v>
      </c>
      <c r="G37" t="s">
        <v>59</v>
      </c>
      <c r="H37">
        <v>4</v>
      </c>
      <c r="I37" t="s">
        <v>25</v>
      </c>
      <c r="J37">
        <v>2</v>
      </c>
      <c r="K37" t="s">
        <v>42</v>
      </c>
      <c r="L37">
        <v>25</v>
      </c>
      <c r="M37" t="s">
        <v>27</v>
      </c>
      <c r="N37" t="s">
        <v>28</v>
      </c>
      <c r="O37">
        <v>2</v>
      </c>
      <c r="P37" t="s">
        <v>39</v>
      </c>
      <c r="Q37">
        <v>1</v>
      </c>
      <c r="R37" t="s">
        <v>27</v>
      </c>
      <c r="S37" t="s">
        <v>30</v>
      </c>
      <c r="T37" t="s">
        <v>31</v>
      </c>
    </row>
    <row r="38" spans="1:20" x14ac:dyDescent="0.35">
      <c r="A38" t="s">
        <v>91</v>
      </c>
      <c r="B38">
        <v>48</v>
      </c>
      <c r="C38" t="s">
        <v>21</v>
      </c>
      <c r="D38" t="s">
        <v>37</v>
      </c>
      <c r="E38">
        <v>672100</v>
      </c>
      <c r="F38" s="1" t="s">
        <v>1060</v>
      </c>
      <c r="G38" t="s">
        <v>34</v>
      </c>
      <c r="H38">
        <v>1</v>
      </c>
      <c r="I38" t="s">
        <v>25</v>
      </c>
      <c r="J38">
        <v>3</v>
      </c>
      <c r="K38" t="s">
        <v>47</v>
      </c>
      <c r="L38">
        <v>31</v>
      </c>
      <c r="M38" t="s">
        <v>69</v>
      </c>
      <c r="N38" t="s">
        <v>43</v>
      </c>
      <c r="O38">
        <v>1</v>
      </c>
      <c r="P38" t="s">
        <v>29</v>
      </c>
      <c r="Q38">
        <v>1</v>
      </c>
      <c r="R38" t="s">
        <v>30</v>
      </c>
      <c r="S38" t="s">
        <v>30</v>
      </c>
      <c r="T38" t="s">
        <v>31</v>
      </c>
    </row>
    <row r="39" spans="1:20" x14ac:dyDescent="0.35">
      <c r="A39" t="s">
        <v>92</v>
      </c>
      <c r="B39">
        <v>18</v>
      </c>
      <c r="C39" t="s">
        <v>33</v>
      </c>
      <c r="D39" t="s">
        <v>22</v>
      </c>
      <c r="E39">
        <v>231000</v>
      </c>
      <c r="F39" s="2" t="s">
        <v>1060</v>
      </c>
      <c r="G39" t="s">
        <v>34</v>
      </c>
      <c r="H39">
        <v>4</v>
      </c>
      <c r="I39" t="s">
        <v>25</v>
      </c>
      <c r="J39">
        <v>2</v>
      </c>
      <c r="K39" t="s">
        <v>26</v>
      </c>
      <c r="L39">
        <v>37</v>
      </c>
      <c r="M39" t="s">
        <v>86</v>
      </c>
      <c r="N39" t="s">
        <v>28</v>
      </c>
      <c r="O39">
        <v>1</v>
      </c>
      <c r="P39" t="s">
        <v>29</v>
      </c>
      <c r="Q39">
        <v>1</v>
      </c>
      <c r="R39" t="s">
        <v>27</v>
      </c>
      <c r="S39" t="s">
        <v>30</v>
      </c>
      <c r="T39" t="s">
        <v>31</v>
      </c>
    </row>
    <row r="40" spans="1:20" x14ac:dyDescent="0.35">
      <c r="A40" t="s">
        <v>93</v>
      </c>
      <c r="B40">
        <v>10</v>
      </c>
      <c r="C40" t="s">
        <v>33</v>
      </c>
      <c r="D40" t="s">
        <v>94</v>
      </c>
      <c r="E40">
        <v>134750</v>
      </c>
      <c r="F40" s="1" t="s">
        <v>1060</v>
      </c>
      <c r="G40" t="s">
        <v>34</v>
      </c>
      <c r="H40">
        <v>2</v>
      </c>
      <c r="I40" t="s">
        <v>25</v>
      </c>
      <c r="J40">
        <v>2</v>
      </c>
      <c r="K40" t="s">
        <v>52</v>
      </c>
      <c r="L40">
        <v>37</v>
      </c>
      <c r="M40" t="s">
        <v>27</v>
      </c>
      <c r="N40" t="s">
        <v>28</v>
      </c>
      <c r="O40">
        <v>1</v>
      </c>
      <c r="P40" t="s">
        <v>29</v>
      </c>
      <c r="Q40">
        <v>1</v>
      </c>
      <c r="R40" t="s">
        <v>30</v>
      </c>
      <c r="S40" t="s">
        <v>30</v>
      </c>
      <c r="T40" t="s">
        <v>31</v>
      </c>
    </row>
    <row r="41" spans="1:20" x14ac:dyDescent="0.35">
      <c r="A41" t="s">
        <v>95</v>
      </c>
      <c r="B41">
        <v>9</v>
      </c>
      <c r="C41" t="s">
        <v>33</v>
      </c>
      <c r="D41" t="s">
        <v>22</v>
      </c>
      <c r="E41">
        <v>50380</v>
      </c>
      <c r="F41" s="2" t="s">
        <v>1060</v>
      </c>
      <c r="G41" t="s">
        <v>34</v>
      </c>
      <c r="H41">
        <v>4</v>
      </c>
      <c r="I41" t="s">
        <v>25</v>
      </c>
      <c r="J41">
        <v>3</v>
      </c>
      <c r="K41" t="s">
        <v>26</v>
      </c>
      <c r="L41">
        <v>24</v>
      </c>
      <c r="M41" t="s">
        <v>27</v>
      </c>
      <c r="N41" t="s">
        <v>28</v>
      </c>
      <c r="O41">
        <v>1</v>
      </c>
      <c r="P41" t="s">
        <v>29</v>
      </c>
      <c r="Q41">
        <v>1</v>
      </c>
      <c r="R41" t="s">
        <v>27</v>
      </c>
      <c r="S41" t="s">
        <v>30</v>
      </c>
      <c r="T41" t="s">
        <v>31</v>
      </c>
    </row>
    <row r="42" spans="1:20" x14ac:dyDescent="0.35">
      <c r="A42" t="s">
        <v>96</v>
      </c>
      <c r="B42">
        <v>30</v>
      </c>
      <c r="C42" t="s">
        <v>33</v>
      </c>
      <c r="D42" t="s">
        <v>22</v>
      </c>
      <c r="E42">
        <v>256630</v>
      </c>
      <c r="F42" s="1" t="s">
        <v>1061</v>
      </c>
      <c r="G42" t="s">
        <v>24</v>
      </c>
      <c r="H42">
        <v>4</v>
      </c>
      <c r="I42" t="s">
        <v>25</v>
      </c>
      <c r="J42">
        <v>2</v>
      </c>
      <c r="K42" t="s">
        <v>52</v>
      </c>
      <c r="L42">
        <v>30</v>
      </c>
      <c r="M42" t="s">
        <v>69</v>
      </c>
      <c r="N42" t="s">
        <v>28</v>
      </c>
      <c r="O42">
        <v>1</v>
      </c>
      <c r="P42" t="s">
        <v>54</v>
      </c>
      <c r="Q42">
        <v>1</v>
      </c>
      <c r="R42" t="s">
        <v>27</v>
      </c>
      <c r="S42" t="s">
        <v>30</v>
      </c>
      <c r="T42" t="s">
        <v>31</v>
      </c>
    </row>
    <row r="43" spans="1:20" x14ac:dyDescent="0.35">
      <c r="A43" t="s">
        <v>97</v>
      </c>
      <c r="B43">
        <v>12</v>
      </c>
      <c r="C43" t="s">
        <v>33</v>
      </c>
      <c r="D43" t="s">
        <v>22</v>
      </c>
      <c r="E43">
        <v>127380</v>
      </c>
      <c r="F43" s="2" t="s">
        <v>1061</v>
      </c>
      <c r="G43" t="s">
        <v>34</v>
      </c>
      <c r="H43">
        <v>3</v>
      </c>
      <c r="I43" t="s">
        <v>25</v>
      </c>
      <c r="J43">
        <v>1</v>
      </c>
      <c r="K43" t="s">
        <v>52</v>
      </c>
      <c r="L43">
        <v>26</v>
      </c>
      <c r="M43" t="s">
        <v>27</v>
      </c>
      <c r="N43" t="s">
        <v>28</v>
      </c>
      <c r="O43">
        <v>1</v>
      </c>
      <c r="P43" t="s">
        <v>29</v>
      </c>
      <c r="Q43">
        <v>1</v>
      </c>
      <c r="R43" t="s">
        <v>30</v>
      </c>
      <c r="S43" t="s">
        <v>30</v>
      </c>
      <c r="T43" t="s">
        <v>31</v>
      </c>
    </row>
    <row r="44" spans="1:20" x14ac:dyDescent="0.35">
      <c r="A44" t="s">
        <v>98</v>
      </c>
      <c r="B44">
        <v>18</v>
      </c>
      <c r="C44" t="s">
        <v>45</v>
      </c>
      <c r="D44" t="s">
        <v>99</v>
      </c>
      <c r="E44">
        <v>682440</v>
      </c>
      <c r="F44" s="1" t="s">
        <v>1060</v>
      </c>
      <c r="G44" t="s">
        <v>34</v>
      </c>
      <c r="H44">
        <v>2</v>
      </c>
      <c r="I44" t="s">
        <v>25</v>
      </c>
      <c r="J44">
        <v>4</v>
      </c>
      <c r="K44" t="s">
        <v>26</v>
      </c>
      <c r="L44">
        <v>44</v>
      </c>
      <c r="M44" t="s">
        <v>27</v>
      </c>
      <c r="N44" t="s">
        <v>28</v>
      </c>
      <c r="O44">
        <v>1</v>
      </c>
      <c r="P44" t="s">
        <v>39</v>
      </c>
      <c r="Q44">
        <v>2</v>
      </c>
      <c r="R44" t="s">
        <v>30</v>
      </c>
      <c r="S44" t="s">
        <v>30</v>
      </c>
      <c r="T44" t="s">
        <v>31</v>
      </c>
    </row>
    <row r="45" spans="1:20" x14ac:dyDescent="0.35">
      <c r="A45" t="s">
        <v>100</v>
      </c>
      <c r="B45">
        <v>30</v>
      </c>
      <c r="C45" t="s">
        <v>21</v>
      </c>
      <c r="D45" t="s">
        <v>51</v>
      </c>
      <c r="E45">
        <v>680570</v>
      </c>
      <c r="F45" s="2" t="s">
        <v>1063</v>
      </c>
      <c r="G45" t="s">
        <v>38</v>
      </c>
      <c r="H45">
        <v>1</v>
      </c>
      <c r="I45" t="s">
        <v>25</v>
      </c>
      <c r="J45">
        <v>4</v>
      </c>
      <c r="K45" t="s">
        <v>52</v>
      </c>
      <c r="L45">
        <v>24</v>
      </c>
      <c r="M45" t="s">
        <v>27</v>
      </c>
      <c r="N45" t="s">
        <v>53</v>
      </c>
      <c r="O45">
        <v>2</v>
      </c>
      <c r="P45" t="s">
        <v>29</v>
      </c>
      <c r="Q45">
        <v>1</v>
      </c>
      <c r="R45" t="s">
        <v>27</v>
      </c>
      <c r="S45" t="s">
        <v>30</v>
      </c>
      <c r="T45" t="s">
        <v>31</v>
      </c>
    </row>
    <row r="46" spans="1:20" x14ac:dyDescent="0.35">
      <c r="A46" t="s">
        <v>101</v>
      </c>
      <c r="B46">
        <v>48</v>
      </c>
      <c r="C46" t="s">
        <v>21</v>
      </c>
      <c r="D46" t="s">
        <v>51</v>
      </c>
      <c r="E46">
        <v>675730</v>
      </c>
      <c r="F46" s="1" t="s">
        <v>1060</v>
      </c>
      <c r="G46" t="s">
        <v>24</v>
      </c>
      <c r="H46">
        <v>4</v>
      </c>
      <c r="I46" t="s">
        <v>35</v>
      </c>
      <c r="J46">
        <v>4</v>
      </c>
      <c r="K46" t="s">
        <v>47</v>
      </c>
      <c r="L46">
        <v>58</v>
      </c>
      <c r="M46" t="s">
        <v>86</v>
      </c>
      <c r="N46" t="s">
        <v>43</v>
      </c>
      <c r="O46">
        <v>2</v>
      </c>
      <c r="P46" t="s">
        <v>39</v>
      </c>
      <c r="Q46">
        <v>1</v>
      </c>
      <c r="R46" t="s">
        <v>27</v>
      </c>
      <c r="S46" t="s">
        <v>30</v>
      </c>
      <c r="T46" t="s">
        <v>31</v>
      </c>
    </row>
    <row r="47" spans="1:20" x14ac:dyDescent="0.35">
      <c r="A47" t="s">
        <v>102</v>
      </c>
      <c r="B47">
        <v>11</v>
      </c>
      <c r="C47" t="s">
        <v>21</v>
      </c>
      <c r="D47" t="s">
        <v>46</v>
      </c>
      <c r="E47">
        <v>153230</v>
      </c>
      <c r="F47" s="2" t="s">
        <v>1060</v>
      </c>
      <c r="G47" t="s">
        <v>59</v>
      </c>
      <c r="H47">
        <v>4</v>
      </c>
      <c r="I47" t="s">
        <v>35</v>
      </c>
      <c r="J47">
        <v>4</v>
      </c>
      <c r="K47" t="s">
        <v>52</v>
      </c>
      <c r="L47">
        <v>35</v>
      </c>
      <c r="M47" t="s">
        <v>27</v>
      </c>
      <c r="N47" t="s">
        <v>28</v>
      </c>
      <c r="O47">
        <v>2</v>
      </c>
      <c r="P47" t="s">
        <v>54</v>
      </c>
      <c r="Q47">
        <v>1</v>
      </c>
      <c r="R47" t="s">
        <v>27</v>
      </c>
      <c r="S47" t="s">
        <v>30</v>
      </c>
      <c r="T47" t="s">
        <v>31</v>
      </c>
    </row>
    <row r="48" spans="1:20" x14ac:dyDescent="0.35">
      <c r="A48" t="s">
        <v>103</v>
      </c>
      <c r="B48">
        <v>36</v>
      </c>
      <c r="C48" t="s">
        <v>33</v>
      </c>
      <c r="D48" t="s">
        <v>22</v>
      </c>
      <c r="E48">
        <v>252890</v>
      </c>
      <c r="F48" s="1" t="s">
        <v>1061</v>
      </c>
      <c r="G48" t="s">
        <v>24</v>
      </c>
      <c r="H48">
        <v>4</v>
      </c>
      <c r="I48" t="s">
        <v>25</v>
      </c>
      <c r="J48">
        <v>4</v>
      </c>
      <c r="K48" t="s">
        <v>52</v>
      </c>
      <c r="L48">
        <v>39</v>
      </c>
      <c r="M48" t="s">
        <v>27</v>
      </c>
      <c r="N48" t="s">
        <v>28</v>
      </c>
      <c r="O48">
        <v>1</v>
      </c>
      <c r="P48" t="s">
        <v>29</v>
      </c>
      <c r="Q48">
        <v>1</v>
      </c>
      <c r="R48" t="s">
        <v>27</v>
      </c>
      <c r="S48" t="s">
        <v>30</v>
      </c>
      <c r="T48" t="s">
        <v>31</v>
      </c>
    </row>
    <row r="49" spans="1:20" x14ac:dyDescent="0.35">
      <c r="A49" t="s">
        <v>104</v>
      </c>
      <c r="B49">
        <v>6</v>
      </c>
      <c r="C49" t="s">
        <v>33</v>
      </c>
      <c r="D49" t="s">
        <v>51</v>
      </c>
      <c r="E49">
        <v>148720</v>
      </c>
      <c r="F49" s="2" t="s">
        <v>1061</v>
      </c>
      <c r="G49" t="s">
        <v>57</v>
      </c>
      <c r="H49">
        <v>1</v>
      </c>
      <c r="I49" t="s">
        <v>35</v>
      </c>
      <c r="J49">
        <v>2</v>
      </c>
      <c r="K49" t="s">
        <v>42</v>
      </c>
      <c r="L49">
        <v>23</v>
      </c>
      <c r="M49" t="s">
        <v>27</v>
      </c>
      <c r="N49" t="s">
        <v>53</v>
      </c>
      <c r="O49">
        <v>1</v>
      </c>
      <c r="P49" t="s">
        <v>105</v>
      </c>
      <c r="Q49">
        <v>1</v>
      </c>
      <c r="R49" t="s">
        <v>30</v>
      </c>
      <c r="S49" t="s">
        <v>30</v>
      </c>
      <c r="T49" t="s">
        <v>31</v>
      </c>
    </row>
    <row r="50" spans="1:20" x14ac:dyDescent="0.35">
      <c r="A50" t="s">
        <v>106</v>
      </c>
      <c r="B50">
        <v>11</v>
      </c>
      <c r="C50" t="s">
        <v>21</v>
      </c>
      <c r="D50" t="s">
        <v>46</v>
      </c>
      <c r="E50">
        <v>795080</v>
      </c>
      <c r="F50" s="1" t="s">
        <v>1060</v>
      </c>
      <c r="G50" t="s">
        <v>34</v>
      </c>
      <c r="H50">
        <v>1</v>
      </c>
      <c r="I50" t="s">
        <v>25</v>
      </c>
      <c r="J50">
        <v>4</v>
      </c>
      <c r="K50" t="s">
        <v>42</v>
      </c>
      <c r="L50">
        <v>39</v>
      </c>
      <c r="M50" t="s">
        <v>27</v>
      </c>
      <c r="N50" t="s">
        <v>28</v>
      </c>
      <c r="O50">
        <v>2</v>
      </c>
      <c r="P50" t="s">
        <v>39</v>
      </c>
      <c r="Q50">
        <v>1</v>
      </c>
      <c r="R50" t="s">
        <v>27</v>
      </c>
      <c r="S50" t="s">
        <v>30</v>
      </c>
      <c r="T50" t="s">
        <v>31</v>
      </c>
    </row>
    <row r="51" spans="1:20" x14ac:dyDescent="0.35">
      <c r="A51" t="s">
        <v>107</v>
      </c>
      <c r="B51">
        <v>12</v>
      </c>
      <c r="C51" t="s">
        <v>33</v>
      </c>
      <c r="D51" t="s">
        <v>22</v>
      </c>
      <c r="E51">
        <v>228030</v>
      </c>
      <c r="F51" s="2" t="s">
        <v>1063</v>
      </c>
      <c r="G51" t="s">
        <v>34</v>
      </c>
      <c r="H51">
        <v>4</v>
      </c>
      <c r="I51" t="s">
        <v>35</v>
      </c>
      <c r="J51">
        <v>2</v>
      </c>
      <c r="K51" t="s">
        <v>26</v>
      </c>
      <c r="L51">
        <v>28</v>
      </c>
      <c r="M51" t="s">
        <v>27</v>
      </c>
      <c r="N51" t="s">
        <v>28</v>
      </c>
      <c r="O51">
        <v>1</v>
      </c>
      <c r="P51" t="s">
        <v>29</v>
      </c>
      <c r="Q51">
        <v>1</v>
      </c>
      <c r="R51" t="s">
        <v>27</v>
      </c>
      <c r="S51" t="s">
        <v>30</v>
      </c>
      <c r="T51" t="s">
        <v>31</v>
      </c>
    </row>
    <row r="52" spans="1:20" x14ac:dyDescent="0.35">
      <c r="A52" t="s">
        <v>108</v>
      </c>
      <c r="B52">
        <v>24</v>
      </c>
      <c r="C52" t="s">
        <v>45</v>
      </c>
      <c r="D52" t="s">
        <v>41</v>
      </c>
      <c r="E52">
        <v>256630</v>
      </c>
      <c r="F52" s="1" t="s">
        <v>23</v>
      </c>
      <c r="G52" t="s">
        <v>59</v>
      </c>
      <c r="H52">
        <v>4</v>
      </c>
      <c r="I52" t="s">
        <v>25</v>
      </c>
      <c r="J52">
        <v>2</v>
      </c>
      <c r="K52" t="s">
        <v>42</v>
      </c>
      <c r="L52">
        <v>29</v>
      </c>
      <c r="M52" t="s">
        <v>69</v>
      </c>
      <c r="N52" t="s">
        <v>28</v>
      </c>
      <c r="O52">
        <v>1</v>
      </c>
      <c r="P52" t="s">
        <v>39</v>
      </c>
      <c r="Q52">
        <v>1</v>
      </c>
      <c r="R52" t="s">
        <v>27</v>
      </c>
      <c r="S52" t="s">
        <v>30</v>
      </c>
      <c r="T52" t="s">
        <v>31</v>
      </c>
    </row>
    <row r="53" spans="1:20" x14ac:dyDescent="0.35">
      <c r="A53" t="s">
        <v>109</v>
      </c>
      <c r="B53">
        <v>27</v>
      </c>
      <c r="C53" t="s">
        <v>45</v>
      </c>
      <c r="D53" t="s">
        <v>51</v>
      </c>
      <c r="E53">
        <v>656150</v>
      </c>
      <c r="F53" s="2" t="s">
        <v>1060</v>
      </c>
      <c r="G53" t="s">
        <v>24</v>
      </c>
      <c r="H53">
        <v>1</v>
      </c>
      <c r="I53" t="s">
        <v>25</v>
      </c>
      <c r="J53">
        <v>2</v>
      </c>
      <c r="K53" t="s">
        <v>52</v>
      </c>
      <c r="L53">
        <v>30</v>
      </c>
      <c r="M53" t="s">
        <v>27</v>
      </c>
      <c r="N53" t="s">
        <v>28</v>
      </c>
      <c r="O53">
        <v>2</v>
      </c>
      <c r="P53" t="s">
        <v>54</v>
      </c>
      <c r="Q53">
        <v>1</v>
      </c>
      <c r="R53" t="s">
        <v>30</v>
      </c>
      <c r="S53" t="s">
        <v>30</v>
      </c>
      <c r="T53" t="s">
        <v>31</v>
      </c>
    </row>
    <row r="54" spans="1:20" x14ac:dyDescent="0.35">
      <c r="A54" t="s">
        <v>110</v>
      </c>
      <c r="B54">
        <v>12</v>
      </c>
      <c r="C54" t="s">
        <v>33</v>
      </c>
      <c r="D54" t="s">
        <v>22</v>
      </c>
      <c r="E54">
        <v>138820</v>
      </c>
      <c r="F54" s="1" t="s">
        <v>1060</v>
      </c>
      <c r="G54" t="s">
        <v>34</v>
      </c>
      <c r="H54">
        <v>3</v>
      </c>
      <c r="I54" t="s">
        <v>25</v>
      </c>
      <c r="J54">
        <v>2</v>
      </c>
      <c r="K54" t="s">
        <v>52</v>
      </c>
      <c r="L54">
        <v>25</v>
      </c>
      <c r="M54" t="s">
        <v>27</v>
      </c>
      <c r="N54" t="s">
        <v>28</v>
      </c>
      <c r="O54">
        <v>1</v>
      </c>
      <c r="P54" t="s">
        <v>29</v>
      </c>
      <c r="Q54">
        <v>1</v>
      </c>
      <c r="R54" t="s">
        <v>27</v>
      </c>
      <c r="S54" t="s">
        <v>30</v>
      </c>
      <c r="T54" t="s">
        <v>31</v>
      </c>
    </row>
    <row r="55" spans="1:20" x14ac:dyDescent="0.35">
      <c r="A55" t="s">
        <v>111</v>
      </c>
      <c r="B55">
        <v>18</v>
      </c>
      <c r="C55" t="s">
        <v>33</v>
      </c>
      <c r="D55" t="s">
        <v>51</v>
      </c>
      <c r="E55">
        <v>371580</v>
      </c>
      <c r="F55" s="2" t="s">
        <v>23</v>
      </c>
      <c r="G55" t="s">
        <v>34</v>
      </c>
      <c r="H55">
        <v>2</v>
      </c>
      <c r="I55" t="s">
        <v>25</v>
      </c>
      <c r="J55">
        <v>1</v>
      </c>
      <c r="K55" t="s">
        <v>42</v>
      </c>
      <c r="L55">
        <v>31</v>
      </c>
      <c r="M55" t="s">
        <v>27</v>
      </c>
      <c r="N55" t="s">
        <v>28</v>
      </c>
      <c r="O55">
        <v>1</v>
      </c>
      <c r="P55" t="s">
        <v>29</v>
      </c>
      <c r="Q55">
        <v>1</v>
      </c>
      <c r="R55" t="s">
        <v>30</v>
      </c>
      <c r="S55" t="s">
        <v>30</v>
      </c>
      <c r="T55" t="s">
        <v>31</v>
      </c>
    </row>
    <row r="56" spans="1:20" x14ac:dyDescent="0.35">
      <c r="A56" t="s">
        <v>112</v>
      </c>
      <c r="B56">
        <v>36</v>
      </c>
      <c r="C56" t="s">
        <v>45</v>
      </c>
      <c r="D56" t="s">
        <v>46</v>
      </c>
      <c r="E56">
        <v>244750</v>
      </c>
      <c r="F56" s="1" t="s">
        <v>1060</v>
      </c>
      <c r="G56" t="s">
        <v>24</v>
      </c>
      <c r="H56">
        <v>4</v>
      </c>
      <c r="I56" t="s">
        <v>25</v>
      </c>
      <c r="J56">
        <v>4</v>
      </c>
      <c r="K56" t="s">
        <v>47</v>
      </c>
      <c r="L56">
        <v>57</v>
      </c>
      <c r="M56" t="s">
        <v>69</v>
      </c>
      <c r="N56" t="s">
        <v>43</v>
      </c>
      <c r="O56">
        <v>2</v>
      </c>
      <c r="P56" t="s">
        <v>29</v>
      </c>
      <c r="Q56">
        <v>1</v>
      </c>
      <c r="R56" t="s">
        <v>30</v>
      </c>
      <c r="S56" t="s">
        <v>30</v>
      </c>
      <c r="T56" t="s">
        <v>31</v>
      </c>
    </row>
    <row r="57" spans="1:20" x14ac:dyDescent="0.35">
      <c r="A57" t="s">
        <v>113</v>
      </c>
      <c r="B57">
        <v>6</v>
      </c>
      <c r="C57" t="s">
        <v>81</v>
      </c>
      <c r="D57" t="s">
        <v>46</v>
      </c>
      <c r="E57">
        <v>86130</v>
      </c>
      <c r="F57" s="2" t="s">
        <v>23</v>
      </c>
      <c r="G57" t="s">
        <v>34</v>
      </c>
      <c r="H57">
        <v>1</v>
      </c>
      <c r="I57" t="s">
        <v>25</v>
      </c>
      <c r="J57">
        <v>2</v>
      </c>
      <c r="K57" t="s">
        <v>26</v>
      </c>
      <c r="L57">
        <v>26</v>
      </c>
      <c r="M57" t="s">
        <v>86</v>
      </c>
      <c r="N57" t="s">
        <v>28</v>
      </c>
      <c r="O57">
        <v>1</v>
      </c>
      <c r="P57" t="s">
        <v>39</v>
      </c>
      <c r="Q57">
        <v>2</v>
      </c>
      <c r="R57" t="s">
        <v>27</v>
      </c>
      <c r="S57" t="s">
        <v>30</v>
      </c>
      <c r="T57" t="s">
        <v>31</v>
      </c>
    </row>
    <row r="58" spans="1:20" x14ac:dyDescent="0.35">
      <c r="A58" t="s">
        <v>114</v>
      </c>
      <c r="B58">
        <v>12</v>
      </c>
      <c r="C58" t="s">
        <v>33</v>
      </c>
      <c r="D58" t="s">
        <v>22</v>
      </c>
      <c r="E58">
        <v>711480</v>
      </c>
      <c r="F58" s="1" t="s">
        <v>23</v>
      </c>
      <c r="G58" t="s">
        <v>57</v>
      </c>
      <c r="H58">
        <v>2</v>
      </c>
      <c r="I58" t="s">
        <v>25</v>
      </c>
      <c r="J58">
        <v>1</v>
      </c>
      <c r="K58" t="s">
        <v>47</v>
      </c>
      <c r="L58">
        <v>52</v>
      </c>
      <c r="M58" t="s">
        <v>27</v>
      </c>
      <c r="N58" t="s">
        <v>28</v>
      </c>
      <c r="O58">
        <v>1</v>
      </c>
      <c r="P58" t="s">
        <v>54</v>
      </c>
      <c r="Q58">
        <v>1</v>
      </c>
      <c r="R58" t="s">
        <v>30</v>
      </c>
      <c r="S58" t="s">
        <v>30</v>
      </c>
      <c r="T58" t="s">
        <v>31</v>
      </c>
    </row>
    <row r="59" spans="1:20" x14ac:dyDescent="0.35">
      <c r="A59" t="s">
        <v>115</v>
      </c>
      <c r="B59">
        <v>36</v>
      </c>
      <c r="C59" t="s">
        <v>21</v>
      </c>
      <c r="D59" t="s">
        <v>22</v>
      </c>
      <c r="E59">
        <v>1052260</v>
      </c>
      <c r="F59" s="2" t="s">
        <v>1060</v>
      </c>
      <c r="G59" t="s">
        <v>34</v>
      </c>
      <c r="H59">
        <v>2</v>
      </c>
      <c r="I59" t="s">
        <v>35</v>
      </c>
      <c r="J59">
        <v>2</v>
      </c>
      <c r="K59" t="s">
        <v>52</v>
      </c>
      <c r="L59">
        <v>31</v>
      </c>
      <c r="M59" t="s">
        <v>86</v>
      </c>
      <c r="N59" t="s">
        <v>28</v>
      </c>
      <c r="O59">
        <v>2</v>
      </c>
      <c r="P59" t="s">
        <v>29</v>
      </c>
      <c r="Q59">
        <v>1</v>
      </c>
      <c r="R59" t="s">
        <v>27</v>
      </c>
      <c r="S59" t="s">
        <v>30</v>
      </c>
      <c r="T59" t="s">
        <v>31</v>
      </c>
    </row>
    <row r="60" spans="1:20" x14ac:dyDescent="0.35">
      <c r="A60" t="s">
        <v>116</v>
      </c>
      <c r="B60">
        <v>18</v>
      </c>
      <c r="C60" t="s">
        <v>33</v>
      </c>
      <c r="D60" t="s">
        <v>46</v>
      </c>
      <c r="E60">
        <v>215710</v>
      </c>
      <c r="F60" s="1" t="s">
        <v>1060</v>
      </c>
      <c r="G60" t="s">
        <v>24</v>
      </c>
      <c r="H60">
        <v>3</v>
      </c>
      <c r="I60" t="s">
        <v>35</v>
      </c>
      <c r="J60">
        <v>2</v>
      </c>
      <c r="K60" t="s">
        <v>52</v>
      </c>
      <c r="L60">
        <v>23</v>
      </c>
      <c r="M60" t="s">
        <v>27</v>
      </c>
      <c r="N60" t="s">
        <v>28</v>
      </c>
      <c r="O60">
        <v>1</v>
      </c>
      <c r="P60" t="s">
        <v>54</v>
      </c>
      <c r="Q60">
        <v>1</v>
      </c>
      <c r="R60" t="s">
        <v>27</v>
      </c>
      <c r="S60" t="s">
        <v>30</v>
      </c>
      <c r="T60" t="s">
        <v>31</v>
      </c>
    </row>
    <row r="61" spans="1:20" x14ac:dyDescent="0.35">
      <c r="A61" t="s">
        <v>117</v>
      </c>
      <c r="B61">
        <v>36</v>
      </c>
      <c r="C61" t="s">
        <v>21</v>
      </c>
      <c r="D61" t="s">
        <v>41</v>
      </c>
      <c r="E61">
        <v>685190</v>
      </c>
      <c r="F61" s="2" t="s">
        <v>1060</v>
      </c>
      <c r="G61" t="s">
        <v>59</v>
      </c>
      <c r="H61">
        <v>4</v>
      </c>
      <c r="I61" t="s">
        <v>35</v>
      </c>
      <c r="J61">
        <v>4</v>
      </c>
      <c r="K61" t="s">
        <v>47</v>
      </c>
      <c r="L61">
        <v>23</v>
      </c>
      <c r="M61" t="s">
        <v>27</v>
      </c>
      <c r="N61" t="s">
        <v>53</v>
      </c>
      <c r="O61">
        <v>2</v>
      </c>
      <c r="P61" t="s">
        <v>39</v>
      </c>
      <c r="Q61">
        <v>1</v>
      </c>
      <c r="R61" t="s">
        <v>30</v>
      </c>
      <c r="S61" t="s">
        <v>30</v>
      </c>
      <c r="T61" t="s">
        <v>31</v>
      </c>
    </row>
    <row r="62" spans="1:20" x14ac:dyDescent="0.35">
      <c r="A62" t="s">
        <v>118</v>
      </c>
      <c r="B62">
        <v>9</v>
      </c>
      <c r="C62" t="s">
        <v>33</v>
      </c>
      <c r="D62" t="s">
        <v>61</v>
      </c>
      <c r="E62">
        <v>153010</v>
      </c>
      <c r="F62" s="1" t="s">
        <v>1060</v>
      </c>
      <c r="G62" t="s">
        <v>34</v>
      </c>
      <c r="H62">
        <v>2</v>
      </c>
      <c r="I62" t="s">
        <v>25</v>
      </c>
      <c r="J62">
        <v>1</v>
      </c>
      <c r="K62" t="s">
        <v>26</v>
      </c>
      <c r="L62">
        <v>27</v>
      </c>
      <c r="M62" t="s">
        <v>69</v>
      </c>
      <c r="N62" t="s">
        <v>28</v>
      </c>
      <c r="O62">
        <v>1</v>
      </c>
      <c r="P62" t="s">
        <v>29</v>
      </c>
      <c r="Q62">
        <v>1</v>
      </c>
      <c r="R62" t="s">
        <v>30</v>
      </c>
      <c r="S62" t="s">
        <v>30</v>
      </c>
      <c r="T62" t="s">
        <v>31</v>
      </c>
    </row>
    <row r="63" spans="1:20" x14ac:dyDescent="0.35">
      <c r="A63" t="s">
        <v>119</v>
      </c>
      <c r="B63">
        <v>15</v>
      </c>
      <c r="C63" t="s">
        <v>21</v>
      </c>
      <c r="D63" t="s">
        <v>22</v>
      </c>
      <c r="E63">
        <v>169070</v>
      </c>
      <c r="F63" s="2" t="s">
        <v>23</v>
      </c>
      <c r="G63" t="s">
        <v>24</v>
      </c>
      <c r="H63">
        <v>4</v>
      </c>
      <c r="I63" t="s">
        <v>25</v>
      </c>
      <c r="J63">
        <v>4</v>
      </c>
      <c r="K63" t="s">
        <v>26</v>
      </c>
      <c r="L63">
        <v>50</v>
      </c>
      <c r="M63" t="s">
        <v>27</v>
      </c>
      <c r="N63" t="s">
        <v>28</v>
      </c>
      <c r="O63">
        <v>2</v>
      </c>
      <c r="P63" t="s">
        <v>29</v>
      </c>
      <c r="Q63">
        <v>1</v>
      </c>
      <c r="R63" t="s">
        <v>30</v>
      </c>
      <c r="S63" t="s">
        <v>30</v>
      </c>
      <c r="T63" t="s">
        <v>31</v>
      </c>
    </row>
    <row r="64" spans="1:20" x14ac:dyDescent="0.35">
      <c r="A64" t="s">
        <v>120</v>
      </c>
      <c r="B64">
        <v>36</v>
      </c>
      <c r="C64" t="s">
        <v>68</v>
      </c>
      <c r="D64" t="s">
        <v>61</v>
      </c>
      <c r="E64">
        <v>214830</v>
      </c>
      <c r="F64" s="1" t="s">
        <v>1060</v>
      </c>
      <c r="G64" t="s">
        <v>24</v>
      </c>
      <c r="H64">
        <v>4</v>
      </c>
      <c r="I64" t="s">
        <v>25</v>
      </c>
      <c r="J64">
        <v>4</v>
      </c>
      <c r="K64" t="s">
        <v>47</v>
      </c>
      <c r="L64">
        <v>61</v>
      </c>
      <c r="M64" t="s">
        <v>27</v>
      </c>
      <c r="N64" t="s">
        <v>43</v>
      </c>
      <c r="O64">
        <v>1</v>
      </c>
      <c r="P64" t="s">
        <v>54</v>
      </c>
      <c r="Q64">
        <v>1</v>
      </c>
      <c r="R64" t="s">
        <v>30</v>
      </c>
      <c r="S64" t="s">
        <v>30</v>
      </c>
      <c r="T64" t="s">
        <v>31</v>
      </c>
    </row>
    <row r="65" spans="1:20" x14ac:dyDescent="0.35">
      <c r="A65" t="s">
        <v>121</v>
      </c>
      <c r="B65">
        <v>48</v>
      </c>
      <c r="C65" t="s">
        <v>68</v>
      </c>
      <c r="D65" t="s">
        <v>61</v>
      </c>
      <c r="E65">
        <v>1586310</v>
      </c>
      <c r="F65" s="2" t="s">
        <v>1060</v>
      </c>
      <c r="G65" t="s">
        <v>34</v>
      </c>
      <c r="H65">
        <v>2</v>
      </c>
      <c r="I65" t="s">
        <v>25</v>
      </c>
      <c r="J65">
        <v>2</v>
      </c>
      <c r="K65" t="s">
        <v>52</v>
      </c>
      <c r="L65">
        <v>25</v>
      </c>
      <c r="M65" t="s">
        <v>27</v>
      </c>
      <c r="N65" t="s">
        <v>28</v>
      </c>
      <c r="O65">
        <v>1</v>
      </c>
      <c r="P65" t="s">
        <v>29</v>
      </c>
      <c r="Q65">
        <v>1</v>
      </c>
      <c r="R65" t="s">
        <v>30</v>
      </c>
      <c r="S65" t="s">
        <v>30</v>
      </c>
      <c r="T65" t="s">
        <v>31</v>
      </c>
    </row>
    <row r="66" spans="1:20" x14ac:dyDescent="0.35">
      <c r="A66" t="s">
        <v>122</v>
      </c>
      <c r="B66">
        <v>24</v>
      </c>
      <c r="C66" t="s">
        <v>33</v>
      </c>
      <c r="D66" t="s">
        <v>22</v>
      </c>
      <c r="E66">
        <v>349910</v>
      </c>
      <c r="F66" s="1" t="s">
        <v>1060</v>
      </c>
      <c r="G66" t="s">
        <v>59</v>
      </c>
      <c r="H66">
        <v>4</v>
      </c>
      <c r="I66" t="s">
        <v>35</v>
      </c>
      <c r="J66">
        <v>4</v>
      </c>
      <c r="K66" t="s">
        <v>42</v>
      </c>
      <c r="L66">
        <v>26</v>
      </c>
      <c r="M66" t="s">
        <v>27</v>
      </c>
      <c r="N66" t="s">
        <v>28</v>
      </c>
      <c r="O66">
        <v>1</v>
      </c>
      <c r="P66" t="s">
        <v>29</v>
      </c>
      <c r="Q66">
        <v>1</v>
      </c>
      <c r="R66" t="s">
        <v>30</v>
      </c>
      <c r="S66" t="s">
        <v>30</v>
      </c>
      <c r="T66" t="s">
        <v>31</v>
      </c>
    </row>
    <row r="67" spans="1:20" x14ac:dyDescent="0.35">
      <c r="A67" t="s">
        <v>123</v>
      </c>
      <c r="B67">
        <v>27</v>
      </c>
      <c r="C67" t="s">
        <v>33</v>
      </c>
      <c r="D67" t="s">
        <v>99</v>
      </c>
      <c r="E67">
        <v>570900</v>
      </c>
      <c r="F67" s="2" t="s">
        <v>23</v>
      </c>
      <c r="G67" t="s">
        <v>24</v>
      </c>
      <c r="H67">
        <v>4</v>
      </c>
      <c r="I67" t="s">
        <v>25</v>
      </c>
      <c r="J67">
        <v>4</v>
      </c>
      <c r="K67" t="s">
        <v>42</v>
      </c>
      <c r="L67">
        <v>48</v>
      </c>
      <c r="M67" t="s">
        <v>27</v>
      </c>
      <c r="N67" t="s">
        <v>28</v>
      </c>
      <c r="O67">
        <v>4</v>
      </c>
      <c r="P67" t="s">
        <v>29</v>
      </c>
      <c r="Q67">
        <v>2</v>
      </c>
      <c r="R67" t="s">
        <v>30</v>
      </c>
      <c r="S67" t="s">
        <v>30</v>
      </c>
      <c r="T67" t="s">
        <v>31</v>
      </c>
    </row>
    <row r="68" spans="1:20" x14ac:dyDescent="0.35">
      <c r="A68" t="s">
        <v>124</v>
      </c>
      <c r="B68">
        <v>12</v>
      </c>
      <c r="C68" t="s">
        <v>33</v>
      </c>
      <c r="D68" t="s">
        <v>22</v>
      </c>
      <c r="E68">
        <v>238810</v>
      </c>
      <c r="F68" s="1" t="s">
        <v>1060</v>
      </c>
      <c r="G68" t="s">
        <v>59</v>
      </c>
      <c r="H68">
        <v>2</v>
      </c>
      <c r="I68" t="s">
        <v>35</v>
      </c>
      <c r="J68">
        <v>2</v>
      </c>
      <c r="K68" t="s">
        <v>52</v>
      </c>
      <c r="L68">
        <v>29</v>
      </c>
      <c r="M68" t="s">
        <v>69</v>
      </c>
      <c r="N68" t="s">
        <v>28</v>
      </c>
      <c r="O68">
        <v>1</v>
      </c>
      <c r="P68" t="s">
        <v>29</v>
      </c>
      <c r="Q68">
        <v>1</v>
      </c>
      <c r="R68" t="s">
        <v>27</v>
      </c>
      <c r="S68" t="s">
        <v>30</v>
      </c>
      <c r="T68" t="s">
        <v>31</v>
      </c>
    </row>
    <row r="69" spans="1:20" x14ac:dyDescent="0.35">
      <c r="A69" t="s">
        <v>125</v>
      </c>
      <c r="B69">
        <v>12</v>
      </c>
      <c r="C69" t="s">
        <v>33</v>
      </c>
      <c r="D69" t="s">
        <v>46</v>
      </c>
      <c r="E69">
        <v>110770</v>
      </c>
      <c r="F69" s="2" t="s">
        <v>1062</v>
      </c>
      <c r="G69" t="s">
        <v>34</v>
      </c>
      <c r="H69">
        <v>4</v>
      </c>
      <c r="I69" t="s">
        <v>25</v>
      </c>
      <c r="J69">
        <v>1</v>
      </c>
      <c r="K69" t="s">
        <v>26</v>
      </c>
      <c r="L69">
        <v>22</v>
      </c>
      <c r="M69" t="s">
        <v>27</v>
      </c>
      <c r="N69" t="s">
        <v>28</v>
      </c>
      <c r="O69">
        <v>1</v>
      </c>
      <c r="P69" t="s">
        <v>29</v>
      </c>
      <c r="Q69">
        <v>1</v>
      </c>
      <c r="R69" t="s">
        <v>27</v>
      </c>
      <c r="S69" t="s">
        <v>30</v>
      </c>
      <c r="T69" t="s">
        <v>31</v>
      </c>
    </row>
    <row r="70" spans="1:20" x14ac:dyDescent="0.35">
      <c r="A70" t="s">
        <v>126</v>
      </c>
      <c r="B70">
        <v>36</v>
      </c>
      <c r="C70" t="s">
        <v>33</v>
      </c>
      <c r="D70" t="s">
        <v>37</v>
      </c>
      <c r="E70">
        <v>200090</v>
      </c>
      <c r="F70" s="1" t="s">
        <v>1060</v>
      </c>
      <c r="G70" t="s">
        <v>34</v>
      </c>
      <c r="H70">
        <v>4</v>
      </c>
      <c r="I70" t="s">
        <v>25</v>
      </c>
      <c r="J70">
        <v>4</v>
      </c>
      <c r="K70" t="s">
        <v>47</v>
      </c>
      <c r="L70">
        <v>37</v>
      </c>
      <c r="M70" t="s">
        <v>86</v>
      </c>
      <c r="N70" t="s">
        <v>43</v>
      </c>
      <c r="O70">
        <v>1</v>
      </c>
      <c r="P70" t="s">
        <v>29</v>
      </c>
      <c r="Q70">
        <v>1</v>
      </c>
      <c r="R70" t="s">
        <v>30</v>
      </c>
      <c r="S70" t="s">
        <v>30</v>
      </c>
      <c r="T70" t="s">
        <v>31</v>
      </c>
    </row>
    <row r="71" spans="1:20" x14ac:dyDescent="0.35">
      <c r="A71" t="s">
        <v>127</v>
      </c>
      <c r="B71">
        <v>36</v>
      </c>
      <c r="C71" t="s">
        <v>33</v>
      </c>
      <c r="D71" t="s">
        <v>22</v>
      </c>
      <c r="E71">
        <v>263340</v>
      </c>
      <c r="F71" s="2" t="s">
        <v>23</v>
      </c>
      <c r="G71" t="s">
        <v>34</v>
      </c>
      <c r="H71">
        <v>4</v>
      </c>
      <c r="I71" t="s">
        <v>35</v>
      </c>
      <c r="J71">
        <v>4</v>
      </c>
      <c r="K71" t="s">
        <v>52</v>
      </c>
      <c r="L71">
        <v>25</v>
      </c>
      <c r="M71" t="s">
        <v>27</v>
      </c>
      <c r="N71" t="s">
        <v>28</v>
      </c>
      <c r="O71">
        <v>1</v>
      </c>
      <c r="P71" t="s">
        <v>29</v>
      </c>
      <c r="Q71">
        <v>1</v>
      </c>
      <c r="R71" t="s">
        <v>27</v>
      </c>
      <c r="S71" t="s">
        <v>30</v>
      </c>
      <c r="T71" t="s">
        <v>31</v>
      </c>
    </row>
    <row r="72" spans="1:20" x14ac:dyDescent="0.35">
      <c r="A72" t="s">
        <v>128</v>
      </c>
      <c r="B72">
        <v>36</v>
      </c>
      <c r="C72" t="s">
        <v>33</v>
      </c>
      <c r="D72" t="s">
        <v>51</v>
      </c>
      <c r="E72">
        <v>894630</v>
      </c>
      <c r="F72" s="1" t="s">
        <v>1060</v>
      </c>
      <c r="G72" t="s">
        <v>34</v>
      </c>
      <c r="H72">
        <v>1</v>
      </c>
      <c r="I72" t="s">
        <v>35</v>
      </c>
      <c r="J72">
        <v>2</v>
      </c>
      <c r="K72" t="s">
        <v>42</v>
      </c>
      <c r="L72">
        <v>30</v>
      </c>
      <c r="M72" t="s">
        <v>69</v>
      </c>
      <c r="N72" t="s">
        <v>28</v>
      </c>
      <c r="O72">
        <v>1</v>
      </c>
      <c r="P72" t="s">
        <v>29</v>
      </c>
      <c r="Q72">
        <v>1</v>
      </c>
      <c r="R72" t="s">
        <v>27</v>
      </c>
      <c r="S72" t="s">
        <v>30</v>
      </c>
      <c r="T72" t="s">
        <v>31</v>
      </c>
    </row>
    <row r="73" spans="1:20" x14ac:dyDescent="0.35">
      <c r="A73" t="s">
        <v>129</v>
      </c>
      <c r="B73">
        <v>7</v>
      </c>
      <c r="C73" t="s">
        <v>21</v>
      </c>
      <c r="D73" t="s">
        <v>22</v>
      </c>
      <c r="E73">
        <v>80300</v>
      </c>
      <c r="F73" s="2" t="s">
        <v>23</v>
      </c>
      <c r="G73" t="s">
        <v>24</v>
      </c>
      <c r="H73">
        <v>4</v>
      </c>
      <c r="I73" t="s">
        <v>25</v>
      </c>
      <c r="J73">
        <v>2</v>
      </c>
      <c r="K73" t="s">
        <v>42</v>
      </c>
      <c r="L73">
        <v>46</v>
      </c>
      <c r="M73" t="s">
        <v>27</v>
      </c>
      <c r="N73" t="s">
        <v>53</v>
      </c>
      <c r="O73">
        <v>2</v>
      </c>
      <c r="P73" t="s">
        <v>39</v>
      </c>
      <c r="Q73">
        <v>1</v>
      </c>
      <c r="R73" t="s">
        <v>30</v>
      </c>
      <c r="S73" t="s">
        <v>30</v>
      </c>
      <c r="T73" t="s">
        <v>31</v>
      </c>
    </row>
    <row r="74" spans="1:20" x14ac:dyDescent="0.35">
      <c r="A74" t="s">
        <v>130</v>
      </c>
      <c r="B74">
        <v>8</v>
      </c>
      <c r="C74" t="s">
        <v>21</v>
      </c>
      <c r="D74" t="s">
        <v>131</v>
      </c>
      <c r="E74">
        <v>128040</v>
      </c>
      <c r="F74" s="1" t="s">
        <v>1060</v>
      </c>
      <c r="G74" t="s">
        <v>24</v>
      </c>
      <c r="H74">
        <v>3</v>
      </c>
      <c r="I74" t="s">
        <v>25</v>
      </c>
      <c r="J74">
        <v>4</v>
      </c>
      <c r="K74" t="s">
        <v>47</v>
      </c>
      <c r="L74">
        <v>51</v>
      </c>
      <c r="M74" t="s">
        <v>69</v>
      </c>
      <c r="N74" t="s">
        <v>43</v>
      </c>
      <c r="O74">
        <v>2</v>
      </c>
      <c r="P74" t="s">
        <v>54</v>
      </c>
      <c r="Q74">
        <v>2</v>
      </c>
      <c r="R74" t="s">
        <v>30</v>
      </c>
      <c r="S74" t="s">
        <v>30</v>
      </c>
      <c r="T74" t="s">
        <v>31</v>
      </c>
    </row>
    <row r="75" spans="1:20" x14ac:dyDescent="0.35">
      <c r="A75" t="s">
        <v>132</v>
      </c>
      <c r="B75">
        <v>42</v>
      </c>
      <c r="C75" t="s">
        <v>21</v>
      </c>
      <c r="D75" t="s">
        <v>61</v>
      </c>
      <c r="E75">
        <v>654940</v>
      </c>
      <c r="F75" s="2" t="s">
        <v>1060</v>
      </c>
      <c r="G75" t="s">
        <v>38</v>
      </c>
      <c r="H75">
        <v>2</v>
      </c>
      <c r="I75" t="s">
        <v>35</v>
      </c>
      <c r="J75">
        <v>1</v>
      </c>
      <c r="K75" t="s">
        <v>26</v>
      </c>
      <c r="L75">
        <v>41</v>
      </c>
      <c r="M75" t="s">
        <v>69</v>
      </c>
      <c r="N75" t="s">
        <v>28</v>
      </c>
      <c r="O75">
        <v>2</v>
      </c>
      <c r="P75" t="s">
        <v>39</v>
      </c>
      <c r="Q75">
        <v>1</v>
      </c>
      <c r="R75" t="s">
        <v>27</v>
      </c>
      <c r="S75" t="s">
        <v>30</v>
      </c>
      <c r="T75" t="s">
        <v>31</v>
      </c>
    </row>
    <row r="76" spans="1:20" x14ac:dyDescent="0.35">
      <c r="A76" t="s">
        <v>133</v>
      </c>
      <c r="B76">
        <v>36</v>
      </c>
      <c r="C76" t="s">
        <v>33</v>
      </c>
      <c r="D76" t="s">
        <v>37</v>
      </c>
      <c r="E76">
        <v>217470</v>
      </c>
      <c r="F76" s="1" t="s">
        <v>23</v>
      </c>
      <c r="G76" t="s">
        <v>24</v>
      </c>
      <c r="H76">
        <v>4</v>
      </c>
      <c r="I76" t="s">
        <v>25</v>
      </c>
      <c r="J76">
        <v>4</v>
      </c>
      <c r="K76" t="s">
        <v>47</v>
      </c>
      <c r="L76">
        <v>40</v>
      </c>
      <c r="M76" t="s">
        <v>27</v>
      </c>
      <c r="N76" t="s">
        <v>28</v>
      </c>
      <c r="O76">
        <v>1</v>
      </c>
      <c r="P76" t="s">
        <v>54</v>
      </c>
      <c r="Q76">
        <v>1</v>
      </c>
      <c r="R76" t="s">
        <v>30</v>
      </c>
      <c r="S76" t="s">
        <v>30</v>
      </c>
      <c r="T76" t="s">
        <v>31</v>
      </c>
    </row>
    <row r="77" spans="1:20" x14ac:dyDescent="0.35">
      <c r="A77" t="s">
        <v>134</v>
      </c>
      <c r="B77">
        <v>12</v>
      </c>
      <c r="C77" t="s">
        <v>21</v>
      </c>
      <c r="D77" t="s">
        <v>51</v>
      </c>
      <c r="E77">
        <v>167860</v>
      </c>
      <c r="F77" s="2" t="s">
        <v>1060</v>
      </c>
      <c r="G77" t="s">
        <v>24</v>
      </c>
      <c r="H77">
        <v>4</v>
      </c>
      <c r="I77" t="s">
        <v>25</v>
      </c>
      <c r="J77">
        <v>4</v>
      </c>
      <c r="K77" t="s">
        <v>47</v>
      </c>
      <c r="L77">
        <v>66</v>
      </c>
      <c r="M77" t="s">
        <v>27</v>
      </c>
      <c r="N77" t="s">
        <v>43</v>
      </c>
      <c r="O77">
        <v>2</v>
      </c>
      <c r="P77" t="s">
        <v>54</v>
      </c>
      <c r="Q77">
        <v>1</v>
      </c>
      <c r="R77" t="s">
        <v>27</v>
      </c>
      <c r="S77" t="s">
        <v>30</v>
      </c>
      <c r="T77" t="s">
        <v>31</v>
      </c>
    </row>
    <row r="78" spans="1:20" x14ac:dyDescent="0.35">
      <c r="A78" t="s">
        <v>135</v>
      </c>
      <c r="B78">
        <v>42</v>
      </c>
      <c r="C78" t="s">
        <v>33</v>
      </c>
      <c r="D78" t="s">
        <v>22</v>
      </c>
      <c r="E78">
        <v>436150</v>
      </c>
      <c r="F78" s="1" t="s">
        <v>1060</v>
      </c>
      <c r="G78" t="s">
        <v>59</v>
      </c>
      <c r="H78">
        <v>4</v>
      </c>
      <c r="I78" t="s">
        <v>25</v>
      </c>
      <c r="J78">
        <v>3</v>
      </c>
      <c r="K78" t="s">
        <v>52</v>
      </c>
      <c r="L78">
        <v>34</v>
      </c>
      <c r="M78" t="s">
        <v>27</v>
      </c>
      <c r="N78" t="s">
        <v>28</v>
      </c>
      <c r="O78">
        <v>1</v>
      </c>
      <c r="P78" t="s">
        <v>29</v>
      </c>
      <c r="Q78">
        <v>1</v>
      </c>
      <c r="R78" t="s">
        <v>27</v>
      </c>
      <c r="S78" t="s">
        <v>30</v>
      </c>
      <c r="T78" t="s">
        <v>31</v>
      </c>
    </row>
    <row r="79" spans="1:20" x14ac:dyDescent="0.35">
      <c r="A79" t="s">
        <v>136</v>
      </c>
      <c r="B79">
        <v>11</v>
      </c>
      <c r="C79" t="s">
        <v>45</v>
      </c>
      <c r="D79" t="s">
        <v>22</v>
      </c>
      <c r="E79">
        <v>524810</v>
      </c>
      <c r="F79" s="2" t="s">
        <v>1060</v>
      </c>
      <c r="G79" t="s">
        <v>38</v>
      </c>
      <c r="H79">
        <v>2</v>
      </c>
      <c r="I79" t="s">
        <v>25</v>
      </c>
      <c r="J79">
        <v>4</v>
      </c>
      <c r="K79" t="s">
        <v>42</v>
      </c>
      <c r="L79">
        <v>51</v>
      </c>
      <c r="M79" t="s">
        <v>27</v>
      </c>
      <c r="N79" t="s">
        <v>28</v>
      </c>
      <c r="O79">
        <v>1</v>
      </c>
      <c r="P79" t="s">
        <v>29</v>
      </c>
      <c r="Q79">
        <v>1</v>
      </c>
      <c r="R79" t="s">
        <v>27</v>
      </c>
      <c r="S79" t="s">
        <v>30</v>
      </c>
      <c r="T79" t="s">
        <v>31</v>
      </c>
    </row>
    <row r="80" spans="1:20" x14ac:dyDescent="0.35">
      <c r="A80" t="s">
        <v>137</v>
      </c>
      <c r="B80">
        <v>54</v>
      </c>
      <c r="C80" t="s">
        <v>68</v>
      </c>
      <c r="D80" t="s">
        <v>51</v>
      </c>
      <c r="E80">
        <v>1037960</v>
      </c>
      <c r="F80" s="1" t="s">
        <v>23</v>
      </c>
      <c r="G80" t="s">
        <v>34</v>
      </c>
      <c r="H80">
        <v>2</v>
      </c>
      <c r="I80" t="s">
        <v>25</v>
      </c>
      <c r="J80">
        <v>2</v>
      </c>
      <c r="K80" t="s">
        <v>42</v>
      </c>
      <c r="L80">
        <v>39</v>
      </c>
      <c r="M80" t="s">
        <v>27</v>
      </c>
      <c r="N80" t="s">
        <v>28</v>
      </c>
      <c r="O80">
        <v>1</v>
      </c>
      <c r="P80" t="s">
        <v>39</v>
      </c>
      <c r="Q80">
        <v>2</v>
      </c>
      <c r="R80" t="s">
        <v>27</v>
      </c>
      <c r="S80" t="s">
        <v>30</v>
      </c>
      <c r="T80" t="s">
        <v>31</v>
      </c>
    </row>
    <row r="81" spans="1:20" x14ac:dyDescent="0.35">
      <c r="A81" t="s">
        <v>138</v>
      </c>
      <c r="B81">
        <v>30</v>
      </c>
      <c r="C81" t="s">
        <v>33</v>
      </c>
      <c r="D81" t="s">
        <v>41</v>
      </c>
      <c r="E81">
        <v>421520</v>
      </c>
      <c r="F81" s="2" t="s">
        <v>1060</v>
      </c>
      <c r="G81" t="s">
        <v>59</v>
      </c>
      <c r="H81">
        <v>2</v>
      </c>
      <c r="I81" t="s">
        <v>25</v>
      </c>
      <c r="J81">
        <v>1</v>
      </c>
      <c r="K81" t="s">
        <v>42</v>
      </c>
      <c r="L81">
        <v>22</v>
      </c>
      <c r="M81" t="s">
        <v>27</v>
      </c>
      <c r="N81" t="s">
        <v>28</v>
      </c>
      <c r="O81">
        <v>1</v>
      </c>
      <c r="P81" t="s">
        <v>29</v>
      </c>
      <c r="Q81">
        <v>1</v>
      </c>
      <c r="R81" t="s">
        <v>27</v>
      </c>
      <c r="S81" t="s">
        <v>30</v>
      </c>
      <c r="T81" t="s">
        <v>31</v>
      </c>
    </row>
    <row r="82" spans="1:20" x14ac:dyDescent="0.35">
      <c r="A82" t="s">
        <v>139</v>
      </c>
      <c r="B82">
        <v>24</v>
      </c>
      <c r="C82" t="s">
        <v>33</v>
      </c>
      <c r="D82" t="s">
        <v>22</v>
      </c>
      <c r="E82">
        <v>653730</v>
      </c>
      <c r="F82" s="1" t="s">
        <v>23</v>
      </c>
      <c r="G82" t="s">
        <v>59</v>
      </c>
      <c r="H82">
        <v>1</v>
      </c>
      <c r="I82" t="s">
        <v>35</v>
      </c>
      <c r="J82">
        <v>1</v>
      </c>
      <c r="K82" t="s">
        <v>52</v>
      </c>
      <c r="L82">
        <v>44</v>
      </c>
      <c r="M82" t="s">
        <v>27</v>
      </c>
      <c r="N82" t="s">
        <v>28</v>
      </c>
      <c r="O82">
        <v>2</v>
      </c>
      <c r="P82" t="s">
        <v>29</v>
      </c>
      <c r="Q82">
        <v>1</v>
      </c>
      <c r="R82" t="s">
        <v>30</v>
      </c>
      <c r="S82" t="s">
        <v>30</v>
      </c>
      <c r="T82" t="s">
        <v>31</v>
      </c>
    </row>
    <row r="83" spans="1:20" x14ac:dyDescent="0.35">
      <c r="A83" t="s">
        <v>140</v>
      </c>
      <c r="B83">
        <v>15</v>
      </c>
      <c r="C83" t="s">
        <v>33</v>
      </c>
      <c r="D83" t="s">
        <v>22</v>
      </c>
      <c r="E83">
        <v>133430</v>
      </c>
      <c r="F83" s="2" t="s">
        <v>1061</v>
      </c>
      <c r="G83" t="s">
        <v>24</v>
      </c>
      <c r="H83">
        <v>4</v>
      </c>
      <c r="I83" t="s">
        <v>25</v>
      </c>
      <c r="J83">
        <v>3</v>
      </c>
      <c r="K83" t="s">
        <v>42</v>
      </c>
      <c r="L83">
        <v>47</v>
      </c>
      <c r="M83" t="s">
        <v>86</v>
      </c>
      <c r="N83" t="s">
        <v>28</v>
      </c>
      <c r="O83">
        <v>1</v>
      </c>
      <c r="P83" t="s">
        <v>29</v>
      </c>
      <c r="Q83">
        <v>1</v>
      </c>
      <c r="R83" t="s">
        <v>30</v>
      </c>
      <c r="S83" t="s">
        <v>30</v>
      </c>
      <c r="T83" t="s">
        <v>31</v>
      </c>
    </row>
    <row r="84" spans="1:20" x14ac:dyDescent="0.35">
      <c r="A84" t="s">
        <v>141</v>
      </c>
      <c r="B84">
        <v>18</v>
      </c>
      <c r="C84" t="s">
        <v>33</v>
      </c>
      <c r="D84" t="s">
        <v>61</v>
      </c>
      <c r="E84">
        <v>172480</v>
      </c>
      <c r="F84" s="1" t="s">
        <v>1063</v>
      </c>
      <c r="G84" t="s">
        <v>34</v>
      </c>
      <c r="H84">
        <v>3</v>
      </c>
      <c r="I84" t="s">
        <v>35</v>
      </c>
      <c r="J84">
        <v>4</v>
      </c>
      <c r="K84" t="s">
        <v>42</v>
      </c>
      <c r="L84">
        <v>24</v>
      </c>
      <c r="M84" t="s">
        <v>27</v>
      </c>
      <c r="N84" t="s">
        <v>53</v>
      </c>
      <c r="O84">
        <v>1</v>
      </c>
      <c r="P84" t="s">
        <v>39</v>
      </c>
      <c r="Q84">
        <v>1</v>
      </c>
      <c r="R84" t="s">
        <v>27</v>
      </c>
      <c r="S84" t="s">
        <v>30</v>
      </c>
      <c r="T84" t="s">
        <v>31</v>
      </c>
    </row>
    <row r="85" spans="1:20" x14ac:dyDescent="0.35">
      <c r="A85" t="s">
        <v>142</v>
      </c>
      <c r="B85">
        <v>24</v>
      </c>
      <c r="C85" t="s">
        <v>33</v>
      </c>
      <c r="D85" t="s">
        <v>131</v>
      </c>
      <c r="E85">
        <v>193050</v>
      </c>
      <c r="F85" s="2" t="s">
        <v>1060</v>
      </c>
      <c r="G85" t="s">
        <v>24</v>
      </c>
      <c r="H85">
        <v>4</v>
      </c>
      <c r="I85" t="s">
        <v>35</v>
      </c>
      <c r="J85">
        <v>4</v>
      </c>
      <c r="K85" t="s">
        <v>26</v>
      </c>
      <c r="L85">
        <v>58</v>
      </c>
      <c r="M85" t="s">
        <v>27</v>
      </c>
      <c r="N85" t="s">
        <v>28</v>
      </c>
      <c r="O85">
        <v>1</v>
      </c>
      <c r="P85" t="s">
        <v>39</v>
      </c>
      <c r="Q85">
        <v>1</v>
      </c>
      <c r="R85" t="s">
        <v>30</v>
      </c>
      <c r="S85" t="s">
        <v>30</v>
      </c>
      <c r="T85" t="s">
        <v>31</v>
      </c>
    </row>
    <row r="86" spans="1:20" x14ac:dyDescent="0.35">
      <c r="A86" t="s">
        <v>143</v>
      </c>
      <c r="B86">
        <v>10</v>
      </c>
      <c r="C86" t="s">
        <v>33</v>
      </c>
      <c r="D86" t="s">
        <v>22</v>
      </c>
      <c r="E86">
        <v>254650</v>
      </c>
      <c r="F86" s="1" t="s">
        <v>1060</v>
      </c>
      <c r="G86" t="s">
        <v>24</v>
      </c>
      <c r="H86">
        <v>3</v>
      </c>
      <c r="I86" t="s">
        <v>25</v>
      </c>
      <c r="J86">
        <v>4</v>
      </c>
      <c r="K86" t="s">
        <v>26</v>
      </c>
      <c r="L86">
        <v>52</v>
      </c>
      <c r="M86" t="s">
        <v>27</v>
      </c>
      <c r="N86" t="s">
        <v>28</v>
      </c>
      <c r="O86">
        <v>1</v>
      </c>
      <c r="P86" t="s">
        <v>39</v>
      </c>
      <c r="Q86">
        <v>1</v>
      </c>
      <c r="R86" t="s">
        <v>27</v>
      </c>
      <c r="S86" t="s">
        <v>30</v>
      </c>
      <c r="T86" t="s">
        <v>31</v>
      </c>
    </row>
    <row r="87" spans="1:20" x14ac:dyDescent="0.35">
      <c r="A87" t="s">
        <v>144</v>
      </c>
      <c r="B87">
        <v>12</v>
      </c>
      <c r="C87" t="s">
        <v>21</v>
      </c>
      <c r="D87" t="s">
        <v>61</v>
      </c>
      <c r="E87">
        <v>155320</v>
      </c>
      <c r="F87" s="2" t="s">
        <v>1060</v>
      </c>
      <c r="G87" t="s">
        <v>34</v>
      </c>
      <c r="H87">
        <v>4</v>
      </c>
      <c r="I87" t="s">
        <v>35</v>
      </c>
      <c r="J87">
        <v>2</v>
      </c>
      <c r="K87" t="s">
        <v>26</v>
      </c>
      <c r="L87">
        <v>29</v>
      </c>
      <c r="M87" t="s">
        <v>27</v>
      </c>
      <c r="N87" t="s">
        <v>28</v>
      </c>
      <c r="O87">
        <v>2</v>
      </c>
      <c r="P87" t="s">
        <v>54</v>
      </c>
      <c r="Q87">
        <v>1</v>
      </c>
      <c r="R87" t="s">
        <v>30</v>
      </c>
      <c r="S87" t="s">
        <v>30</v>
      </c>
      <c r="T87" t="s">
        <v>31</v>
      </c>
    </row>
    <row r="88" spans="1:20" x14ac:dyDescent="0.35">
      <c r="A88" t="s">
        <v>145</v>
      </c>
      <c r="B88">
        <v>18</v>
      </c>
      <c r="C88" t="s">
        <v>21</v>
      </c>
      <c r="D88" t="s">
        <v>41</v>
      </c>
      <c r="E88">
        <v>142450</v>
      </c>
      <c r="F88" s="1" t="s">
        <v>1060</v>
      </c>
      <c r="G88" t="s">
        <v>59</v>
      </c>
      <c r="H88">
        <v>4</v>
      </c>
      <c r="I88" t="s">
        <v>35</v>
      </c>
      <c r="J88">
        <v>1</v>
      </c>
      <c r="K88" t="s">
        <v>42</v>
      </c>
      <c r="L88">
        <v>27</v>
      </c>
      <c r="M88" t="s">
        <v>27</v>
      </c>
      <c r="N88" t="s">
        <v>28</v>
      </c>
      <c r="O88">
        <v>2</v>
      </c>
      <c r="P88" t="s">
        <v>29</v>
      </c>
      <c r="Q88">
        <v>1</v>
      </c>
      <c r="R88" t="s">
        <v>27</v>
      </c>
      <c r="S88" t="s">
        <v>30</v>
      </c>
      <c r="T88" t="s">
        <v>31</v>
      </c>
    </row>
    <row r="89" spans="1:20" x14ac:dyDescent="0.35">
      <c r="A89" t="s">
        <v>146</v>
      </c>
      <c r="B89">
        <v>36</v>
      </c>
      <c r="C89" t="s">
        <v>33</v>
      </c>
      <c r="D89" t="s">
        <v>37</v>
      </c>
      <c r="E89">
        <v>1387320</v>
      </c>
      <c r="F89" s="2" t="s">
        <v>1063</v>
      </c>
      <c r="G89" t="s">
        <v>34</v>
      </c>
      <c r="H89">
        <v>1</v>
      </c>
      <c r="I89" t="s">
        <v>25</v>
      </c>
      <c r="J89">
        <v>4</v>
      </c>
      <c r="K89" t="s">
        <v>47</v>
      </c>
      <c r="L89">
        <v>47</v>
      </c>
      <c r="M89" t="s">
        <v>27</v>
      </c>
      <c r="N89" t="s">
        <v>43</v>
      </c>
      <c r="O89">
        <v>1</v>
      </c>
      <c r="P89" t="s">
        <v>29</v>
      </c>
      <c r="Q89">
        <v>2</v>
      </c>
      <c r="R89" t="s">
        <v>30</v>
      </c>
      <c r="S89" t="s">
        <v>30</v>
      </c>
      <c r="T89" t="s">
        <v>31</v>
      </c>
    </row>
    <row r="90" spans="1:20" x14ac:dyDescent="0.35">
      <c r="A90" t="s">
        <v>147</v>
      </c>
      <c r="B90">
        <v>18</v>
      </c>
      <c r="C90" t="s">
        <v>33</v>
      </c>
      <c r="D90" t="s">
        <v>46</v>
      </c>
      <c r="E90">
        <v>247390</v>
      </c>
      <c r="F90" s="1" t="s">
        <v>1063</v>
      </c>
      <c r="G90" t="s">
        <v>38</v>
      </c>
      <c r="H90">
        <v>4</v>
      </c>
      <c r="I90" t="s">
        <v>25</v>
      </c>
      <c r="J90">
        <v>3</v>
      </c>
      <c r="K90" t="s">
        <v>52</v>
      </c>
      <c r="L90">
        <v>30</v>
      </c>
      <c r="M90" t="s">
        <v>27</v>
      </c>
      <c r="N90" t="s">
        <v>28</v>
      </c>
      <c r="O90">
        <v>1</v>
      </c>
      <c r="P90" t="s">
        <v>54</v>
      </c>
      <c r="Q90">
        <v>2</v>
      </c>
      <c r="R90" t="s">
        <v>30</v>
      </c>
      <c r="S90" t="s">
        <v>30</v>
      </c>
      <c r="T90" t="s">
        <v>31</v>
      </c>
    </row>
    <row r="91" spans="1:20" x14ac:dyDescent="0.35">
      <c r="A91" t="s">
        <v>148</v>
      </c>
      <c r="B91">
        <v>12</v>
      </c>
      <c r="C91" t="s">
        <v>68</v>
      </c>
      <c r="D91" t="s">
        <v>99</v>
      </c>
      <c r="E91">
        <v>121880</v>
      </c>
      <c r="F91" s="2" t="s">
        <v>1060</v>
      </c>
      <c r="G91" t="s">
        <v>38</v>
      </c>
      <c r="H91">
        <v>4</v>
      </c>
      <c r="I91" t="s">
        <v>25</v>
      </c>
      <c r="J91">
        <v>3</v>
      </c>
      <c r="K91" t="s">
        <v>26</v>
      </c>
      <c r="L91">
        <v>28</v>
      </c>
      <c r="M91" t="s">
        <v>27</v>
      </c>
      <c r="N91" t="s">
        <v>28</v>
      </c>
      <c r="O91">
        <v>2</v>
      </c>
      <c r="P91" t="s">
        <v>29</v>
      </c>
      <c r="Q91">
        <v>1</v>
      </c>
      <c r="R91" t="s">
        <v>27</v>
      </c>
      <c r="S91" t="s">
        <v>30</v>
      </c>
      <c r="T91" t="s">
        <v>31</v>
      </c>
    </row>
    <row r="92" spans="1:20" x14ac:dyDescent="0.35">
      <c r="A92" t="s">
        <v>149</v>
      </c>
      <c r="B92">
        <v>12</v>
      </c>
      <c r="C92" t="s">
        <v>21</v>
      </c>
      <c r="D92" t="s">
        <v>22</v>
      </c>
      <c r="E92">
        <v>67980</v>
      </c>
      <c r="F92" s="1" t="s">
        <v>1060</v>
      </c>
      <c r="G92" t="s">
        <v>24</v>
      </c>
      <c r="H92">
        <v>4</v>
      </c>
      <c r="I92" t="s">
        <v>25</v>
      </c>
      <c r="J92">
        <v>4</v>
      </c>
      <c r="K92" t="s">
        <v>26</v>
      </c>
      <c r="L92">
        <v>56</v>
      </c>
      <c r="M92" t="s">
        <v>27</v>
      </c>
      <c r="N92" t="s">
        <v>28</v>
      </c>
      <c r="O92">
        <v>1</v>
      </c>
      <c r="P92" t="s">
        <v>29</v>
      </c>
      <c r="Q92">
        <v>1</v>
      </c>
      <c r="R92" t="s">
        <v>27</v>
      </c>
      <c r="S92" t="s">
        <v>30</v>
      </c>
      <c r="T92" t="s">
        <v>31</v>
      </c>
    </row>
    <row r="93" spans="1:20" x14ac:dyDescent="0.35">
      <c r="A93" t="s">
        <v>150</v>
      </c>
      <c r="B93">
        <v>12</v>
      </c>
      <c r="C93" t="s">
        <v>21</v>
      </c>
      <c r="D93" t="s">
        <v>51</v>
      </c>
      <c r="E93">
        <v>154990</v>
      </c>
      <c r="F93" s="2" t="s">
        <v>1060</v>
      </c>
      <c r="G93" t="s">
        <v>24</v>
      </c>
      <c r="H93">
        <v>4</v>
      </c>
      <c r="I93" t="s">
        <v>25</v>
      </c>
      <c r="J93">
        <v>3</v>
      </c>
      <c r="K93" t="s">
        <v>26</v>
      </c>
      <c r="L93">
        <v>54</v>
      </c>
      <c r="M93" t="s">
        <v>27</v>
      </c>
      <c r="N93" t="s">
        <v>28</v>
      </c>
      <c r="O93">
        <v>1</v>
      </c>
      <c r="P93" t="s">
        <v>29</v>
      </c>
      <c r="Q93">
        <v>1</v>
      </c>
      <c r="R93" t="s">
        <v>27</v>
      </c>
      <c r="S93" t="s">
        <v>30</v>
      </c>
      <c r="T93" t="s">
        <v>31</v>
      </c>
    </row>
    <row r="94" spans="1:20" x14ac:dyDescent="0.35">
      <c r="A94" t="s">
        <v>151</v>
      </c>
      <c r="B94">
        <v>12</v>
      </c>
      <c r="C94" t="s">
        <v>21</v>
      </c>
      <c r="D94" t="s">
        <v>22</v>
      </c>
      <c r="E94">
        <v>87670</v>
      </c>
      <c r="F94" s="1" t="s">
        <v>23</v>
      </c>
      <c r="G94" t="s">
        <v>24</v>
      </c>
      <c r="H94">
        <v>4</v>
      </c>
      <c r="I94" t="s">
        <v>35</v>
      </c>
      <c r="J94">
        <v>3</v>
      </c>
      <c r="K94" t="s">
        <v>42</v>
      </c>
      <c r="L94">
        <v>33</v>
      </c>
      <c r="M94" t="s">
        <v>69</v>
      </c>
      <c r="N94" t="s">
        <v>28</v>
      </c>
      <c r="O94">
        <v>1</v>
      </c>
      <c r="P94" t="s">
        <v>39</v>
      </c>
      <c r="Q94">
        <v>2</v>
      </c>
      <c r="R94" t="s">
        <v>27</v>
      </c>
      <c r="S94" t="s">
        <v>30</v>
      </c>
      <c r="T94" t="s">
        <v>31</v>
      </c>
    </row>
    <row r="95" spans="1:20" x14ac:dyDescent="0.35">
      <c r="A95" t="s">
        <v>152</v>
      </c>
      <c r="B95">
        <v>24</v>
      </c>
      <c r="C95" t="s">
        <v>21</v>
      </c>
      <c r="D95" t="s">
        <v>41</v>
      </c>
      <c r="E95">
        <v>397870</v>
      </c>
      <c r="F95" s="2" t="s">
        <v>23</v>
      </c>
      <c r="G95" t="s">
        <v>24</v>
      </c>
      <c r="H95">
        <v>4</v>
      </c>
      <c r="I95" t="s">
        <v>25</v>
      </c>
      <c r="J95">
        <v>4</v>
      </c>
      <c r="K95" t="s">
        <v>47</v>
      </c>
      <c r="L95">
        <v>20</v>
      </c>
      <c r="M95" t="s">
        <v>27</v>
      </c>
      <c r="N95" t="s">
        <v>53</v>
      </c>
      <c r="O95">
        <v>2</v>
      </c>
      <c r="P95" t="s">
        <v>29</v>
      </c>
      <c r="Q95">
        <v>1</v>
      </c>
      <c r="R95" t="s">
        <v>27</v>
      </c>
      <c r="S95" t="s">
        <v>30</v>
      </c>
      <c r="T95" t="s">
        <v>31</v>
      </c>
    </row>
    <row r="96" spans="1:20" x14ac:dyDescent="0.35">
      <c r="A96" t="s">
        <v>153</v>
      </c>
      <c r="B96">
        <v>12</v>
      </c>
      <c r="C96" t="s">
        <v>33</v>
      </c>
      <c r="D96" t="s">
        <v>46</v>
      </c>
      <c r="E96">
        <v>144980</v>
      </c>
      <c r="F96" s="1" t="s">
        <v>1062</v>
      </c>
      <c r="G96" t="s">
        <v>24</v>
      </c>
      <c r="H96">
        <v>4</v>
      </c>
      <c r="I96" t="s">
        <v>25</v>
      </c>
      <c r="J96">
        <v>4</v>
      </c>
      <c r="K96" t="s">
        <v>26</v>
      </c>
      <c r="L96">
        <v>54</v>
      </c>
      <c r="M96" t="s">
        <v>27</v>
      </c>
      <c r="N96" t="s">
        <v>28</v>
      </c>
      <c r="O96">
        <v>1</v>
      </c>
      <c r="P96" t="s">
        <v>29</v>
      </c>
      <c r="Q96">
        <v>1</v>
      </c>
      <c r="R96" t="s">
        <v>30</v>
      </c>
      <c r="S96" t="s">
        <v>30</v>
      </c>
      <c r="T96" t="s">
        <v>31</v>
      </c>
    </row>
    <row r="97" spans="1:20" x14ac:dyDescent="0.35">
      <c r="A97" t="s">
        <v>154</v>
      </c>
      <c r="B97">
        <v>54</v>
      </c>
      <c r="C97" t="s">
        <v>68</v>
      </c>
      <c r="D97" t="s">
        <v>61</v>
      </c>
      <c r="E97">
        <v>1753950</v>
      </c>
      <c r="F97" s="2" t="s">
        <v>1060</v>
      </c>
      <c r="G97" t="s">
        <v>59</v>
      </c>
      <c r="H97">
        <v>3</v>
      </c>
      <c r="I97" t="s">
        <v>25</v>
      </c>
      <c r="J97">
        <v>4</v>
      </c>
      <c r="K97" t="s">
        <v>47</v>
      </c>
      <c r="L97">
        <v>58</v>
      </c>
      <c r="M97" t="s">
        <v>27</v>
      </c>
      <c r="N97" t="s">
        <v>53</v>
      </c>
      <c r="O97">
        <v>1</v>
      </c>
      <c r="P97" t="s">
        <v>29</v>
      </c>
      <c r="Q97">
        <v>1</v>
      </c>
      <c r="R97" t="s">
        <v>30</v>
      </c>
      <c r="S97" t="s">
        <v>30</v>
      </c>
      <c r="T97" t="s">
        <v>31</v>
      </c>
    </row>
    <row r="98" spans="1:20" x14ac:dyDescent="0.35">
      <c r="A98" t="s">
        <v>155</v>
      </c>
      <c r="B98">
        <v>12</v>
      </c>
      <c r="C98" t="s">
        <v>21</v>
      </c>
      <c r="D98" t="s">
        <v>37</v>
      </c>
      <c r="E98">
        <v>221320</v>
      </c>
      <c r="F98" s="1" t="s">
        <v>23</v>
      </c>
      <c r="G98" t="s">
        <v>38</v>
      </c>
      <c r="H98">
        <v>4</v>
      </c>
      <c r="I98" t="s">
        <v>35</v>
      </c>
      <c r="J98">
        <v>2</v>
      </c>
      <c r="K98" t="s">
        <v>52</v>
      </c>
      <c r="L98">
        <v>61</v>
      </c>
      <c r="M98" t="s">
        <v>27</v>
      </c>
      <c r="N98" t="s">
        <v>28</v>
      </c>
      <c r="O98">
        <v>1</v>
      </c>
      <c r="P98" t="s">
        <v>29</v>
      </c>
      <c r="Q98">
        <v>1</v>
      </c>
      <c r="R98" t="s">
        <v>27</v>
      </c>
      <c r="S98" t="s">
        <v>30</v>
      </c>
      <c r="T98" t="s">
        <v>31</v>
      </c>
    </row>
    <row r="99" spans="1:20" x14ac:dyDescent="0.35">
      <c r="A99" t="s">
        <v>156</v>
      </c>
      <c r="B99">
        <v>18</v>
      </c>
      <c r="C99" t="s">
        <v>33</v>
      </c>
      <c r="D99" t="s">
        <v>61</v>
      </c>
      <c r="E99">
        <v>288420</v>
      </c>
      <c r="F99" s="2" t="s">
        <v>1063</v>
      </c>
      <c r="G99" t="s">
        <v>34</v>
      </c>
      <c r="H99">
        <v>4</v>
      </c>
      <c r="I99" t="s">
        <v>25</v>
      </c>
      <c r="J99">
        <v>4</v>
      </c>
      <c r="K99" t="s">
        <v>52</v>
      </c>
      <c r="L99">
        <v>34</v>
      </c>
      <c r="M99" t="s">
        <v>27</v>
      </c>
      <c r="N99" t="s">
        <v>28</v>
      </c>
      <c r="O99">
        <v>1</v>
      </c>
      <c r="P99" t="s">
        <v>29</v>
      </c>
      <c r="Q99">
        <v>1</v>
      </c>
      <c r="R99" t="s">
        <v>27</v>
      </c>
      <c r="S99" t="s">
        <v>30</v>
      </c>
      <c r="T99" t="s">
        <v>31</v>
      </c>
    </row>
    <row r="100" spans="1:20" x14ac:dyDescent="0.35">
      <c r="A100" t="s">
        <v>157</v>
      </c>
      <c r="B100">
        <v>36</v>
      </c>
      <c r="C100" t="s">
        <v>21</v>
      </c>
      <c r="D100" t="s">
        <v>22</v>
      </c>
      <c r="E100">
        <v>257070</v>
      </c>
      <c r="F100" s="1" t="s">
        <v>1060</v>
      </c>
      <c r="G100" t="s">
        <v>24</v>
      </c>
      <c r="H100">
        <v>4</v>
      </c>
      <c r="I100" t="s">
        <v>25</v>
      </c>
      <c r="J100">
        <v>4</v>
      </c>
      <c r="K100" t="s">
        <v>26</v>
      </c>
      <c r="L100">
        <v>36</v>
      </c>
      <c r="M100" t="s">
        <v>27</v>
      </c>
      <c r="N100" t="s">
        <v>28</v>
      </c>
      <c r="O100">
        <v>1</v>
      </c>
      <c r="P100" t="s">
        <v>29</v>
      </c>
      <c r="Q100">
        <v>1</v>
      </c>
      <c r="R100" t="s">
        <v>27</v>
      </c>
      <c r="S100" t="s">
        <v>30</v>
      </c>
      <c r="T100" t="s">
        <v>31</v>
      </c>
    </row>
    <row r="101" spans="1:20" x14ac:dyDescent="0.35">
      <c r="A101" t="s">
        <v>158</v>
      </c>
      <c r="B101">
        <v>20</v>
      </c>
      <c r="C101" t="s">
        <v>45</v>
      </c>
      <c r="D101" t="s">
        <v>51</v>
      </c>
      <c r="E101">
        <v>776270</v>
      </c>
      <c r="F101" s="2" t="s">
        <v>23</v>
      </c>
      <c r="G101" t="s">
        <v>38</v>
      </c>
      <c r="H101">
        <v>3</v>
      </c>
      <c r="I101" t="s">
        <v>25</v>
      </c>
      <c r="J101">
        <v>4</v>
      </c>
      <c r="K101" t="s">
        <v>42</v>
      </c>
      <c r="L101">
        <v>36</v>
      </c>
      <c r="M101" t="s">
        <v>69</v>
      </c>
      <c r="N101" t="s">
        <v>53</v>
      </c>
      <c r="O101">
        <v>2</v>
      </c>
      <c r="P101" t="s">
        <v>54</v>
      </c>
      <c r="Q101">
        <v>2</v>
      </c>
      <c r="R101" t="s">
        <v>30</v>
      </c>
      <c r="S101" t="s">
        <v>30</v>
      </c>
      <c r="T101" t="s">
        <v>31</v>
      </c>
    </row>
    <row r="102" spans="1:20" x14ac:dyDescent="0.35">
      <c r="A102" t="s">
        <v>159</v>
      </c>
      <c r="B102">
        <v>24</v>
      </c>
      <c r="C102" t="s">
        <v>33</v>
      </c>
      <c r="D102" t="s">
        <v>46</v>
      </c>
      <c r="E102">
        <v>161590</v>
      </c>
      <c r="F102" s="1" t="s">
        <v>1063</v>
      </c>
      <c r="G102" t="s">
        <v>24</v>
      </c>
      <c r="H102">
        <v>4</v>
      </c>
      <c r="I102" t="s">
        <v>25</v>
      </c>
      <c r="J102">
        <v>4</v>
      </c>
      <c r="K102" t="s">
        <v>26</v>
      </c>
      <c r="L102">
        <v>41</v>
      </c>
      <c r="M102" t="s">
        <v>27</v>
      </c>
      <c r="N102" t="s">
        <v>53</v>
      </c>
      <c r="O102">
        <v>1</v>
      </c>
      <c r="P102" t="s">
        <v>39</v>
      </c>
      <c r="Q102">
        <v>1</v>
      </c>
      <c r="R102" t="s">
        <v>27</v>
      </c>
      <c r="S102" t="s">
        <v>30</v>
      </c>
      <c r="T102" t="s">
        <v>31</v>
      </c>
    </row>
    <row r="103" spans="1:20" x14ac:dyDescent="0.35">
      <c r="A103" t="s">
        <v>160</v>
      </c>
      <c r="B103">
        <v>36</v>
      </c>
      <c r="C103" t="s">
        <v>33</v>
      </c>
      <c r="D103" t="s">
        <v>22</v>
      </c>
      <c r="E103">
        <v>255530</v>
      </c>
      <c r="F103" s="2" t="s">
        <v>1060</v>
      </c>
      <c r="G103" t="s">
        <v>38</v>
      </c>
      <c r="H103">
        <v>4</v>
      </c>
      <c r="I103" t="s">
        <v>25</v>
      </c>
      <c r="J103">
        <v>4</v>
      </c>
      <c r="K103" t="s">
        <v>52</v>
      </c>
      <c r="L103">
        <v>24</v>
      </c>
      <c r="M103" t="s">
        <v>27</v>
      </c>
      <c r="N103" t="s">
        <v>53</v>
      </c>
      <c r="O103">
        <v>1</v>
      </c>
      <c r="P103" t="s">
        <v>29</v>
      </c>
      <c r="Q103">
        <v>1</v>
      </c>
      <c r="R103" t="s">
        <v>27</v>
      </c>
      <c r="S103" t="s">
        <v>30</v>
      </c>
      <c r="T103" t="s">
        <v>31</v>
      </c>
    </row>
    <row r="104" spans="1:20" x14ac:dyDescent="0.35">
      <c r="A104" t="s">
        <v>161</v>
      </c>
      <c r="B104">
        <v>6</v>
      </c>
      <c r="C104" t="s">
        <v>45</v>
      </c>
      <c r="D104" t="s">
        <v>22</v>
      </c>
      <c r="E104">
        <v>102520</v>
      </c>
      <c r="F104" s="1" t="s">
        <v>1060</v>
      </c>
      <c r="G104" t="s">
        <v>34</v>
      </c>
      <c r="H104">
        <v>3</v>
      </c>
      <c r="I104" t="s">
        <v>35</v>
      </c>
      <c r="J104">
        <v>2</v>
      </c>
      <c r="K104" t="s">
        <v>26</v>
      </c>
      <c r="L104">
        <v>24</v>
      </c>
      <c r="M104" t="s">
        <v>27</v>
      </c>
      <c r="N104" t="s">
        <v>28</v>
      </c>
      <c r="O104">
        <v>1</v>
      </c>
      <c r="P104" t="s">
        <v>29</v>
      </c>
      <c r="Q104">
        <v>1</v>
      </c>
      <c r="R104" t="s">
        <v>27</v>
      </c>
      <c r="S104" t="s">
        <v>30</v>
      </c>
      <c r="T104" t="s">
        <v>31</v>
      </c>
    </row>
    <row r="105" spans="1:20" x14ac:dyDescent="0.35">
      <c r="A105" t="s">
        <v>162</v>
      </c>
      <c r="B105">
        <v>9</v>
      </c>
      <c r="C105" t="s">
        <v>21</v>
      </c>
      <c r="D105" t="s">
        <v>41</v>
      </c>
      <c r="E105">
        <v>211090</v>
      </c>
      <c r="F105" s="2" t="s">
        <v>1060</v>
      </c>
      <c r="G105" t="s">
        <v>38</v>
      </c>
      <c r="H105">
        <v>4</v>
      </c>
      <c r="I105" t="s">
        <v>25</v>
      </c>
      <c r="J105">
        <v>3</v>
      </c>
      <c r="K105" t="s">
        <v>52</v>
      </c>
      <c r="L105">
        <v>35</v>
      </c>
      <c r="M105" t="s">
        <v>27</v>
      </c>
      <c r="N105" t="s">
        <v>53</v>
      </c>
      <c r="O105">
        <v>1</v>
      </c>
      <c r="P105" t="s">
        <v>29</v>
      </c>
      <c r="Q105">
        <v>1</v>
      </c>
      <c r="R105" t="s">
        <v>30</v>
      </c>
      <c r="S105" t="s">
        <v>30</v>
      </c>
      <c r="T105" t="s">
        <v>31</v>
      </c>
    </row>
    <row r="106" spans="1:20" x14ac:dyDescent="0.35">
      <c r="A106" t="s">
        <v>163</v>
      </c>
      <c r="B106">
        <v>12</v>
      </c>
      <c r="C106" t="s">
        <v>33</v>
      </c>
      <c r="D106" t="s">
        <v>51</v>
      </c>
      <c r="E106">
        <v>268950</v>
      </c>
      <c r="F106" s="1" t="s">
        <v>23</v>
      </c>
      <c r="G106" t="s">
        <v>59</v>
      </c>
      <c r="H106">
        <v>2</v>
      </c>
      <c r="I106" t="s">
        <v>25</v>
      </c>
      <c r="J106">
        <v>4</v>
      </c>
      <c r="K106" t="s">
        <v>52</v>
      </c>
      <c r="L106">
        <v>26</v>
      </c>
      <c r="M106" t="s">
        <v>27</v>
      </c>
      <c r="N106" t="s">
        <v>53</v>
      </c>
      <c r="O106">
        <v>1</v>
      </c>
      <c r="P106" t="s">
        <v>29</v>
      </c>
      <c r="Q106">
        <v>1</v>
      </c>
      <c r="R106" t="s">
        <v>30</v>
      </c>
      <c r="S106" t="s">
        <v>30</v>
      </c>
      <c r="T106" t="s">
        <v>31</v>
      </c>
    </row>
    <row r="107" spans="1:20" x14ac:dyDescent="0.35">
      <c r="A107" t="s">
        <v>164</v>
      </c>
      <c r="B107">
        <v>24</v>
      </c>
      <c r="C107" t="s">
        <v>21</v>
      </c>
      <c r="D107" t="s">
        <v>131</v>
      </c>
      <c r="E107">
        <v>1313180</v>
      </c>
      <c r="F107" s="2" t="s">
        <v>1060</v>
      </c>
      <c r="G107" t="s">
        <v>34</v>
      </c>
      <c r="H107">
        <v>2</v>
      </c>
      <c r="I107" t="s">
        <v>25</v>
      </c>
      <c r="J107">
        <v>3</v>
      </c>
      <c r="K107" t="s">
        <v>52</v>
      </c>
      <c r="L107">
        <v>39</v>
      </c>
      <c r="M107" t="s">
        <v>27</v>
      </c>
      <c r="N107" t="s">
        <v>28</v>
      </c>
      <c r="O107">
        <v>2</v>
      </c>
      <c r="P107" t="s">
        <v>54</v>
      </c>
      <c r="Q107">
        <v>2</v>
      </c>
      <c r="R107" t="s">
        <v>30</v>
      </c>
      <c r="S107" t="s">
        <v>30</v>
      </c>
      <c r="T107" t="s">
        <v>31</v>
      </c>
    </row>
    <row r="108" spans="1:20" x14ac:dyDescent="0.35">
      <c r="A108" t="s">
        <v>165</v>
      </c>
      <c r="B108">
        <v>18</v>
      </c>
      <c r="C108" t="s">
        <v>81</v>
      </c>
      <c r="D108" t="s">
        <v>46</v>
      </c>
      <c r="E108">
        <v>710380</v>
      </c>
      <c r="F108" s="1" t="s">
        <v>1060</v>
      </c>
      <c r="G108" t="s">
        <v>24</v>
      </c>
      <c r="H108">
        <v>2</v>
      </c>
      <c r="I108" t="s">
        <v>25</v>
      </c>
      <c r="J108">
        <v>4</v>
      </c>
      <c r="K108" t="s">
        <v>47</v>
      </c>
      <c r="L108">
        <v>39</v>
      </c>
      <c r="M108" t="s">
        <v>69</v>
      </c>
      <c r="N108" t="s">
        <v>28</v>
      </c>
      <c r="O108">
        <v>2</v>
      </c>
      <c r="P108" t="s">
        <v>54</v>
      </c>
      <c r="Q108">
        <v>2</v>
      </c>
      <c r="R108" t="s">
        <v>30</v>
      </c>
      <c r="S108" t="s">
        <v>30</v>
      </c>
      <c r="T108" t="s">
        <v>31</v>
      </c>
    </row>
    <row r="109" spans="1:20" x14ac:dyDescent="0.35">
      <c r="A109" t="s">
        <v>166</v>
      </c>
      <c r="B109">
        <v>12</v>
      </c>
      <c r="C109" t="s">
        <v>33</v>
      </c>
      <c r="D109" t="s">
        <v>46</v>
      </c>
      <c r="E109">
        <v>668580</v>
      </c>
      <c r="F109" s="2" t="s">
        <v>1060</v>
      </c>
      <c r="G109" t="s">
        <v>38</v>
      </c>
      <c r="H109">
        <v>2</v>
      </c>
      <c r="I109" t="s">
        <v>25</v>
      </c>
      <c r="J109">
        <v>2</v>
      </c>
      <c r="K109" t="s">
        <v>52</v>
      </c>
      <c r="L109">
        <v>32</v>
      </c>
      <c r="M109" t="s">
        <v>27</v>
      </c>
      <c r="N109" t="s">
        <v>28</v>
      </c>
      <c r="O109">
        <v>1</v>
      </c>
      <c r="P109" t="s">
        <v>29</v>
      </c>
      <c r="Q109">
        <v>1</v>
      </c>
      <c r="R109" t="s">
        <v>27</v>
      </c>
      <c r="S109" t="s">
        <v>30</v>
      </c>
      <c r="T109" t="s">
        <v>31</v>
      </c>
    </row>
    <row r="110" spans="1:20" x14ac:dyDescent="0.35">
      <c r="A110" t="s">
        <v>167</v>
      </c>
      <c r="B110">
        <v>24</v>
      </c>
      <c r="C110" t="s">
        <v>33</v>
      </c>
      <c r="D110" t="s">
        <v>41</v>
      </c>
      <c r="E110">
        <v>849310</v>
      </c>
      <c r="F110" s="1" t="s">
        <v>23</v>
      </c>
      <c r="G110" t="s">
        <v>59</v>
      </c>
      <c r="H110">
        <v>1</v>
      </c>
      <c r="I110" t="s">
        <v>35</v>
      </c>
      <c r="J110">
        <v>2</v>
      </c>
      <c r="K110" t="s">
        <v>42</v>
      </c>
      <c r="L110">
        <v>30</v>
      </c>
      <c r="M110" t="s">
        <v>27</v>
      </c>
      <c r="N110" t="s">
        <v>28</v>
      </c>
      <c r="O110">
        <v>1</v>
      </c>
      <c r="P110" t="s">
        <v>29</v>
      </c>
      <c r="Q110">
        <v>1</v>
      </c>
      <c r="R110" t="s">
        <v>30</v>
      </c>
      <c r="S110" t="s">
        <v>75</v>
      </c>
      <c r="T110" t="s">
        <v>31</v>
      </c>
    </row>
    <row r="111" spans="1:20" x14ac:dyDescent="0.35">
      <c r="A111" t="s">
        <v>168</v>
      </c>
      <c r="B111">
        <v>14</v>
      </c>
      <c r="C111" t="s">
        <v>33</v>
      </c>
      <c r="D111" t="s">
        <v>61</v>
      </c>
      <c r="E111">
        <v>155100</v>
      </c>
      <c r="F111" s="2" t="s">
        <v>1061</v>
      </c>
      <c r="G111" t="s">
        <v>24</v>
      </c>
      <c r="H111">
        <v>1</v>
      </c>
      <c r="I111" t="s">
        <v>25</v>
      </c>
      <c r="J111">
        <v>2</v>
      </c>
      <c r="K111" t="s">
        <v>26</v>
      </c>
      <c r="L111">
        <v>35</v>
      </c>
      <c r="M111" t="s">
        <v>27</v>
      </c>
      <c r="N111" t="s">
        <v>28</v>
      </c>
      <c r="O111">
        <v>1</v>
      </c>
      <c r="P111" t="s">
        <v>29</v>
      </c>
      <c r="Q111">
        <v>1</v>
      </c>
      <c r="R111" t="s">
        <v>30</v>
      </c>
      <c r="S111" t="s">
        <v>30</v>
      </c>
      <c r="T111" t="s">
        <v>31</v>
      </c>
    </row>
    <row r="112" spans="1:20" x14ac:dyDescent="0.35">
      <c r="A112" t="s">
        <v>169</v>
      </c>
      <c r="B112">
        <v>6</v>
      </c>
      <c r="C112" t="s">
        <v>45</v>
      </c>
      <c r="D112" t="s">
        <v>61</v>
      </c>
      <c r="E112">
        <v>159390</v>
      </c>
      <c r="F112" s="1" t="s">
        <v>1063</v>
      </c>
      <c r="G112" t="s">
        <v>24</v>
      </c>
      <c r="H112">
        <v>1</v>
      </c>
      <c r="I112" t="s">
        <v>25</v>
      </c>
      <c r="J112">
        <v>2</v>
      </c>
      <c r="K112" t="s">
        <v>52</v>
      </c>
      <c r="L112">
        <v>31</v>
      </c>
      <c r="M112" t="s">
        <v>69</v>
      </c>
      <c r="N112" t="s">
        <v>28</v>
      </c>
      <c r="O112">
        <v>2</v>
      </c>
      <c r="P112" t="s">
        <v>29</v>
      </c>
      <c r="Q112">
        <v>2</v>
      </c>
      <c r="R112" t="s">
        <v>27</v>
      </c>
      <c r="S112" t="s">
        <v>30</v>
      </c>
      <c r="T112" t="s">
        <v>31</v>
      </c>
    </row>
    <row r="113" spans="1:20" x14ac:dyDescent="0.35">
      <c r="A113" t="s">
        <v>170</v>
      </c>
      <c r="B113">
        <v>15</v>
      </c>
      <c r="C113" t="s">
        <v>33</v>
      </c>
      <c r="D113" t="s">
        <v>37</v>
      </c>
      <c r="E113">
        <v>43120</v>
      </c>
      <c r="F113" s="2" t="s">
        <v>1060</v>
      </c>
      <c r="G113" t="s">
        <v>59</v>
      </c>
      <c r="H113">
        <v>4</v>
      </c>
      <c r="I113" t="s">
        <v>35</v>
      </c>
      <c r="J113">
        <v>4</v>
      </c>
      <c r="K113" t="s">
        <v>42</v>
      </c>
      <c r="L113">
        <v>23</v>
      </c>
      <c r="M113" t="s">
        <v>27</v>
      </c>
      <c r="N113" t="s">
        <v>53</v>
      </c>
      <c r="O113">
        <v>1</v>
      </c>
      <c r="P113" t="s">
        <v>29</v>
      </c>
      <c r="Q113">
        <v>1</v>
      </c>
      <c r="R113" t="s">
        <v>30</v>
      </c>
      <c r="S113" t="s">
        <v>30</v>
      </c>
      <c r="T113" t="s">
        <v>31</v>
      </c>
    </row>
    <row r="114" spans="1:20" x14ac:dyDescent="0.35">
      <c r="A114" t="s">
        <v>171</v>
      </c>
      <c r="B114">
        <v>18</v>
      </c>
      <c r="C114" t="s">
        <v>33</v>
      </c>
      <c r="D114" t="s">
        <v>46</v>
      </c>
      <c r="E114">
        <v>688600</v>
      </c>
      <c r="F114" s="1" t="s">
        <v>1060</v>
      </c>
      <c r="G114" t="s">
        <v>38</v>
      </c>
      <c r="H114">
        <v>3</v>
      </c>
      <c r="I114" t="s">
        <v>25</v>
      </c>
      <c r="J114">
        <v>3</v>
      </c>
      <c r="K114" t="s">
        <v>26</v>
      </c>
      <c r="L114">
        <v>28</v>
      </c>
      <c r="M114" t="s">
        <v>27</v>
      </c>
      <c r="N114" t="s">
        <v>53</v>
      </c>
      <c r="O114">
        <v>1</v>
      </c>
      <c r="P114" t="s">
        <v>39</v>
      </c>
      <c r="Q114">
        <v>1</v>
      </c>
      <c r="R114" t="s">
        <v>27</v>
      </c>
      <c r="S114" t="s">
        <v>30</v>
      </c>
      <c r="T114" t="s">
        <v>31</v>
      </c>
    </row>
    <row r="115" spans="1:20" x14ac:dyDescent="0.35">
      <c r="A115" t="s">
        <v>172</v>
      </c>
      <c r="B115">
        <v>36</v>
      </c>
      <c r="C115" t="s">
        <v>21</v>
      </c>
      <c r="D115" t="s">
        <v>46</v>
      </c>
      <c r="E115">
        <v>864050</v>
      </c>
      <c r="F115" s="2" t="s">
        <v>1060</v>
      </c>
      <c r="G115" t="s">
        <v>34</v>
      </c>
      <c r="H115">
        <v>4</v>
      </c>
      <c r="I115" t="s">
        <v>35</v>
      </c>
      <c r="J115">
        <v>2</v>
      </c>
      <c r="K115" t="s">
        <v>26</v>
      </c>
      <c r="L115">
        <v>25</v>
      </c>
      <c r="M115" t="s">
        <v>86</v>
      </c>
      <c r="N115" t="s">
        <v>28</v>
      </c>
      <c r="O115">
        <v>2</v>
      </c>
      <c r="P115" t="s">
        <v>29</v>
      </c>
      <c r="Q115">
        <v>1</v>
      </c>
      <c r="R115" t="s">
        <v>30</v>
      </c>
      <c r="S115" t="s">
        <v>30</v>
      </c>
      <c r="T115" t="s">
        <v>31</v>
      </c>
    </row>
    <row r="116" spans="1:20" x14ac:dyDescent="0.35">
      <c r="A116" t="s">
        <v>173</v>
      </c>
      <c r="B116">
        <v>12</v>
      </c>
      <c r="C116" t="s">
        <v>33</v>
      </c>
      <c r="D116" t="s">
        <v>22</v>
      </c>
      <c r="E116">
        <v>184800</v>
      </c>
      <c r="F116" s="1" t="s">
        <v>1061</v>
      </c>
      <c r="G116" t="s">
        <v>24</v>
      </c>
      <c r="H116">
        <v>3</v>
      </c>
      <c r="I116" t="s">
        <v>25</v>
      </c>
      <c r="J116">
        <v>1</v>
      </c>
      <c r="K116" t="s">
        <v>26</v>
      </c>
      <c r="L116">
        <v>35</v>
      </c>
      <c r="M116" t="s">
        <v>27</v>
      </c>
      <c r="N116" t="s">
        <v>28</v>
      </c>
      <c r="O116">
        <v>1</v>
      </c>
      <c r="P116" t="s">
        <v>29</v>
      </c>
      <c r="Q116">
        <v>1</v>
      </c>
      <c r="R116" t="s">
        <v>27</v>
      </c>
      <c r="S116" t="s">
        <v>30</v>
      </c>
      <c r="T116" t="s">
        <v>31</v>
      </c>
    </row>
    <row r="117" spans="1:20" x14ac:dyDescent="0.35">
      <c r="A117" t="s">
        <v>174</v>
      </c>
      <c r="B117">
        <v>48</v>
      </c>
      <c r="C117" t="s">
        <v>21</v>
      </c>
      <c r="D117" t="s">
        <v>22</v>
      </c>
      <c r="E117">
        <v>393580</v>
      </c>
      <c r="F117" s="2" t="s">
        <v>23</v>
      </c>
      <c r="G117" t="s">
        <v>24</v>
      </c>
      <c r="H117">
        <v>4</v>
      </c>
      <c r="I117" t="s">
        <v>25</v>
      </c>
      <c r="J117">
        <v>1</v>
      </c>
      <c r="K117" t="s">
        <v>26</v>
      </c>
      <c r="L117">
        <v>47</v>
      </c>
      <c r="M117" t="s">
        <v>27</v>
      </c>
      <c r="N117" t="s">
        <v>28</v>
      </c>
      <c r="O117">
        <v>1</v>
      </c>
      <c r="P117" t="s">
        <v>29</v>
      </c>
      <c r="Q117">
        <v>1</v>
      </c>
      <c r="R117" t="s">
        <v>30</v>
      </c>
      <c r="S117" t="s">
        <v>30</v>
      </c>
      <c r="T117" t="s">
        <v>31</v>
      </c>
    </row>
    <row r="118" spans="1:20" x14ac:dyDescent="0.35">
      <c r="A118" t="s">
        <v>175</v>
      </c>
      <c r="B118">
        <v>42</v>
      </c>
      <c r="C118" t="s">
        <v>33</v>
      </c>
      <c r="D118" t="s">
        <v>22</v>
      </c>
      <c r="E118">
        <v>789140</v>
      </c>
      <c r="F118" s="1" t="s">
        <v>23</v>
      </c>
      <c r="G118" t="s">
        <v>38</v>
      </c>
      <c r="H118">
        <v>4</v>
      </c>
      <c r="I118" t="s">
        <v>35</v>
      </c>
      <c r="J118">
        <v>3</v>
      </c>
      <c r="K118" t="s">
        <v>52</v>
      </c>
      <c r="L118">
        <v>30</v>
      </c>
      <c r="M118" t="s">
        <v>27</v>
      </c>
      <c r="N118" t="s">
        <v>28</v>
      </c>
      <c r="O118">
        <v>1</v>
      </c>
      <c r="P118" t="s">
        <v>54</v>
      </c>
      <c r="Q118">
        <v>1</v>
      </c>
      <c r="R118" t="s">
        <v>30</v>
      </c>
      <c r="S118" t="s">
        <v>30</v>
      </c>
      <c r="T118" t="s">
        <v>31</v>
      </c>
    </row>
    <row r="119" spans="1:20" x14ac:dyDescent="0.35">
      <c r="A119" t="s">
        <v>176</v>
      </c>
      <c r="B119">
        <v>10</v>
      </c>
      <c r="C119" t="s">
        <v>21</v>
      </c>
      <c r="D119" t="s">
        <v>41</v>
      </c>
      <c r="E119">
        <v>234520</v>
      </c>
      <c r="F119" s="2" t="s">
        <v>23</v>
      </c>
      <c r="G119" t="s">
        <v>59</v>
      </c>
      <c r="H119">
        <v>2</v>
      </c>
      <c r="I119" t="s">
        <v>35</v>
      </c>
      <c r="J119">
        <v>3</v>
      </c>
      <c r="K119" t="s">
        <v>26</v>
      </c>
      <c r="L119">
        <v>27</v>
      </c>
      <c r="M119" t="s">
        <v>27</v>
      </c>
      <c r="N119" t="s">
        <v>53</v>
      </c>
      <c r="O119">
        <v>2</v>
      </c>
      <c r="P119" t="s">
        <v>29</v>
      </c>
      <c r="Q119">
        <v>1</v>
      </c>
      <c r="R119" t="s">
        <v>27</v>
      </c>
      <c r="S119" t="s">
        <v>75</v>
      </c>
      <c r="T119" t="s">
        <v>31</v>
      </c>
    </row>
    <row r="120" spans="1:20" x14ac:dyDescent="0.35">
      <c r="A120" t="s">
        <v>177</v>
      </c>
      <c r="B120">
        <v>33</v>
      </c>
      <c r="C120" t="s">
        <v>21</v>
      </c>
      <c r="D120" t="s">
        <v>41</v>
      </c>
      <c r="E120">
        <v>470910</v>
      </c>
      <c r="F120" s="1" t="s">
        <v>1061</v>
      </c>
      <c r="G120" t="s">
        <v>34</v>
      </c>
      <c r="H120">
        <v>1</v>
      </c>
      <c r="I120" t="s">
        <v>35</v>
      </c>
      <c r="J120">
        <v>4</v>
      </c>
      <c r="K120" t="s">
        <v>52</v>
      </c>
      <c r="L120">
        <v>23</v>
      </c>
      <c r="M120" t="s">
        <v>27</v>
      </c>
      <c r="N120" t="s">
        <v>28</v>
      </c>
      <c r="O120">
        <v>2</v>
      </c>
      <c r="P120" t="s">
        <v>29</v>
      </c>
      <c r="Q120">
        <v>1</v>
      </c>
      <c r="R120" t="s">
        <v>27</v>
      </c>
      <c r="S120" t="s">
        <v>30</v>
      </c>
      <c r="T120" t="s">
        <v>31</v>
      </c>
    </row>
    <row r="121" spans="1:20" x14ac:dyDescent="0.35">
      <c r="A121" t="s">
        <v>178</v>
      </c>
      <c r="B121">
        <v>12</v>
      </c>
      <c r="C121" t="s">
        <v>21</v>
      </c>
      <c r="D121" t="s">
        <v>46</v>
      </c>
      <c r="E121">
        <v>260260</v>
      </c>
      <c r="F121" s="2" t="s">
        <v>1061</v>
      </c>
      <c r="G121" t="s">
        <v>38</v>
      </c>
      <c r="H121">
        <v>3</v>
      </c>
      <c r="I121" t="s">
        <v>25</v>
      </c>
      <c r="J121">
        <v>3</v>
      </c>
      <c r="K121" t="s">
        <v>52</v>
      </c>
      <c r="L121">
        <v>36</v>
      </c>
      <c r="M121" t="s">
        <v>27</v>
      </c>
      <c r="N121" t="s">
        <v>28</v>
      </c>
      <c r="O121">
        <v>1</v>
      </c>
      <c r="P121" t="s">
        <v>54</v>
      </c>
      <c r="Q121">
        <v>1</v>
      </c>
      <c r="R121" t="s">
        <v>30</v>
      </c>
      <c r="S121" t="s">
        <v>30</v>
      </c>
      <c r="T121" t="s">
        <v>31</v>
      </c>
    </row>
    <row r="122" spans="1:20" x14ac:dyDescent="0.35">
      <c r="A122" t="s">
        <v>179</v>
      </c>
      <c r="B122">
        <v>21</v>
      </c>
      <c r="C122" t="s">
        <v>33</v>
      </c>
      <c r="D122" t="s">
        <v>22</v>
      </c>
      <c r="E122">
        <v>201850</v>
      </c>
      <c r="F122" s="1" t="s">
        <v>1060</v>
      </c>
      <c r="G122" t="s">
        <v>34</v>
      </c>
      <c r="H122">
        <v>3</v>
      </c>
      <c r="I122" t="s">
        <v>35</v>
      </c>
      <c r="J122">
        <v>2</v>
      </c>
      <c r="K122" t="s">
        <v>26</v>
      </c>
      <c r="L122">
        <v>25</v>
      </c>
      <c r="M122" t="s">
        <v>27</v>
      </c>
      <c r="N122" t="s">
        <v>28</v>
      </c>
      <c r="O122">
        <v>2</v>
      </c>
      <c r="P122" t="s">
        <v>29</v>
      </c>
      <c r="Q122">
        <v>1</v>
      </c>
      <c r="R122" t="s">
        <v>30</v>
      </c>
      <c r="S122" t="s">
        <v>30</v>
      </c>
      <c r="T122" t="s">
        <v>31</v>
      </c>
    </row>
    <row r="123" spans="1:20" x14ac:dyDescent="0.35">
      <c r="A123" t="s">
        <v>180</v>
      </c>
      <c r="B123">
        <v>24</v>
      </c>
      <c r="C123" t="s">
        <v>21</v>
      </c>
      <c r="D123" t="s">
        <v>51</v>
      </c>
      <c r="E123">
        <v>425480</v>
      </c>
      <c r="F123" s="2" t="s">
        <v>1060</v>
      </c>
      <c r="G123" t="s">
        <v>24</v>
      </c>
      <c r="H123">
        <v>4</v>
      </c>
      <c r="I123" t="s">
        <v>35</v>
      </c>
      <c r="J123">
        <v>2</v>
      </c>
      <c r="K123" t="s">
        <v>52</v>
      </c>
      <c r="L123">
        <v>41</v>
      </c>
      <c r="M123" t="s">
        <v>27</v>
      </c>
      <c r="N123" t="s">
        <v>53</v>
      </c>
      <c r="O123">
        <v>2</v>
      </c>
      <c r="P123" t="s">
        <v>54</v>
      </c>
      <c r="Q123">
        <v>1</v>
      </c>
      <c r="R123" t="s">
        <v>30</v>
      </c>
      <c r="S123" t="s">
        <v>30</v>
      </c>
      <c r="T123" t="s">
        <v>31</v>
      </c>
    </row>
    <row r="124" spans="1:20" x14ac:dyDescent="0.35">
      <c r="A124" t="s">
        <v>181</v>
      </c>
      <c r="B124">
        <v>12</v>
      </c>
      <c r="C124" t="s">
        <v>33</v>
      </c>
      <c r="D124" t="s">
        <v>41</v>
      </c>
      <c r="E124">
        <v>194480</v>
      </c>
      <c r="F124" s="1" t="s">
        <v>1060</v>
      </c>
      <c r="G124" t="s">
        <v>34</v>
      </c>
      <c r="H124">
        <v>3</v>
      </c>
      <c r="I124" t="s">
        <v>25</v>
      </c>
      <c r="J124">
        <v>2</v>
      </c>
      <c r="K124" t="s">
        <v>26</v>
      </c>
      <c r="L124">
        <v>24</v>
      </c>
      <c r="M124" t="s">
        <v>27</v>
      </c>
      <c r="N124" t="s">
        <v>53</v>
      </c>
      <c r="O124">
        <v>1</v>
      </c>
      <c r="P124" t="s">
        <v>39</v>
      </c>
      <c r="Q124">
        <v>1</v>
      </c>
      <c r="R124" t="s">
        <v>27</v>
      </c>
      <c r="S124" t="s">
        <v>30</v>
      </c>
      <c r="T124" t="s">
        <v>31</v>
      </c>
    </row>
    <row r="125" spans="1:20" x14ac:dyDescent="0.35">
      <c r="A125" t="s">
        <v>182</v>
      </c>
      <c r="B125">
        <v>10</v>
      </c>
      <c r="C125" t="s">
        <v>21</v>
      </c>
      <c r="D125" t="s">
        <v>46</v>
      </c>
      <c r="E125">
        <v>85910</v>
      </c>
      <c r="F125" s="2" t="s">
        <v>1060</v>
      </c>
      <c r="G125" t="s">
        <v>24</v>
      </c>
      <c r="H125">
        <v>4</v>
      </c>
      <c r="I125" t="s">
        <v>25</v>
      </c>
      <c r="J125">
        <v>4</v>
      </c>
      <c r="K125" t="s">
        <v>47</v>
      </c>
      <c r="L125">
        <v>63</v>
      </c>
      <c r="M125" t="s">
        <v>27</v>
      </c>
      <c r="N125" t="s">
        <v>43</v>
      </c>
      <c r="O125">
        <v>2</v>
      </c>
      <c r="P125" t="s">
        <v>29</v>
      </c>
      <c r="Q125">
        <v>1</v>
      </c>
      <c r="R125" t="s">
        <v>30</v>
      </c>
      <c r="S125" t="s">
        <v>30</v>
      </c>
      <c r="T125" t="s">
        <v>31</v>
      </c>
    </row>
    <row r="126" spans="1:20" x14ac:dyDescent="0.35">
      <c r="A126" t="s">
        <v>183</v>
      </c>
      <c r="B126">
        <v>18</v>
      </c>
      <c r="C126" t="s">
        <v>33</v>
      </c>
      <c r="D126" t="s">
        <v>41</v>
      </c>
      <c r="E126">
        <v>211640</v>
      </c>
      <c r="F126" s="1" t="s">
        <v>23</v>
      </c>
      <c r="G126" t="s">
        <v>59</v>
      </c>
      <c r="H126">
        <v>4</v>
      </c>
      <c r="I126" t="s">
        <v>35</v>
      </c>
      <c r="J126">
        <v>3</v>
      </c>
      <c r="K126" t="s">
        <v>26</v>
      </c>
      <c r="L126">
        <v>27</v>
      </c>
      <c r="M126" t="s">
        <v>27</v>
      </c>
      <c r="N126" t="s">
        <v>53</v>
      </c>
      <c r="O126">
        <v>1</v>
      </c>
      <c r="P126" t="s">
        <v>29</v>
      </c>
      <c r="Q126">
        <v>1</v>
      </c>
      <c r="R126" t="s">
        <v>27</v>
      </c>
      <c r="S126" t="s">
        <v>30</v>
      </c>
      <c r="T126" t="s">
        <v>31</v>
      </c>
    </row>
    <row r="127" spans="1:20" x14ac:dyDescent="0.35">
      <c r="A127" t="s">
        <v>184</v>
      </c>
      <c r="B127">
        <v>12</v>
      </c>
      <c r="C127" t="s">
        <v>21</v>
      </c>
      <c r="D127" t="s">
        <v>46</v>
      </c>
      <c r="E127">
        <v>233310</v>
      </c>
      <c r="F127" s="2" t="s">
        <v>1060</v>
      </c>
      <c r="G127" t="s">
        <v>34</v>
      </c>
      <c r="H127">
        <v>4</v>
      </c>
      <c r="I127" t="s">
        <v>25</v>
      </c>
      <c r="J127">
        <v>2</v>
      </c>
      <c r="K127" t="s">
        <v>42</v>
      </c>
      <c r="L127">
        <v>30</v>
      </c>
      <c r="M127" t="s">
        <v>27</v>
      </c>
      <c r="N127" t="s">
        <v>28</v>
      </c>
      <c r="O127">
        <v>2</v>
      </c>
      <c r="P127" t="s">
        <v>29</v>
      </c>
      <c r="Q127">
        <v>1</v>
      </c>
      <c r="R127" t="s">
        <v>27</v>
      </c>
      <c r="S127" t="s">
        <v>30</v>
      </c>
      <c r="T127" t="s">
        <v>31</v>
      </c>
    </row>
    <row r="128" spans="1:20" x14ac:dyDescent="0.35">
      <c r="A128" t="s">
        <v>185</v>
      </c>
      <c r="B128">
        <v>12</v>
      </c>
      <c r="C128" t="s">
        <v>33</v>
      </c>
      <c r="D128" t="s">
        <v>22</v>
      </c>
      <c r="E128">
        <v>77110</v>
      </c>
      <c r="F128" s="1" t="s">
        <v>1060</v>
      </c>
      <c r="G128" t="s">
        <v>34</v>
      </c>
      <c r="H128">
        <v>4</v>
      </c>
      <c r="I128" t="s">
        <v>25</v>
      </c>
      <c r="J128">
        <v>2</v>
      </c>
      <c r="K128" t="s">
        <v>26</v>
      </c>
      <c r="L128">
        <v>40</v>
      </c>
      <c r="M128" t="s">
        <v>27</v>
      </c>
      <c r="N128" t="s">
        <v>28</v>
      </c>
      <c r="O128">
        <v>1</v>
      </c>
      <c r="P128" t="s">
        <v>39</v>
      </c>
      <c r="Q128">
        <v>1</v>
      </c>
      <c r="R128" t="s">
        <v>27</v>
      </c>
      <c r="S128" t="s">
        <v>30</v>
      </c>
      <c r="T128" t="s">
        <v>31</v>
      </c>
    </row>
    <row r="129" spans="1:20" x14ac:dyDescent="0.35">
      <c r="A129" t="s">
        <v>186</v>
      </c>
      <c r="B129">
        <v>12</v>
      </c>
      <c r="C129" t="s">
        <v>33</v>
      </c>
      <c r="D129" t="s">
        <v>99</v>
      </c>
      <c r="E129">
        <v>70290</v>
      </c>
      <c r="F129" s="2" t="s">
        <v>1060</v>
      </c>
      <c r="G129" t="s">
        <v>34</v>
      </c>
      <c r="H129">
        <v>4</v>
      </c>
      <c r="I129" t="s">
        <v>25</v>
      </c>
      <c r="J129">
        <v>2</v>
      </c>
      <c r="K129" t="s">
        <v>52</v>
      </c>
      <c r="L129">
        <v>30</v>
      </c>
      <c r="M129" t="s">
        <v>27</v>
      </c>
      <c r="N129" t="s">
        <v>28</v>
      </c>
      <c r="O129">
        <v>1</v>
      </c>
      <c r="P129" t="s">
        <v>29</v>
      </c>
      <c r="Q129">
        <v>1</v>
      </c>
      <c r="R129" t="s">
        <v>27</v>
      </c>
      <c r="S129" t="s">
        <v>30</v>
      </c>
      <c r="T129" t="s">
        <v>31</v>
      </c>
    </row>
    <row r="130" spans="1:20" x14ac:dyDescent="0.35">
      <c r="A130" t="s">
        <v>187</v>
      </c>
      <c r="B130">
        <v>12</v>
      </c>
      <c r="C130" t="s">
        <v>21</v>
      </c>
      <c r="D130" t="s">
        <v>51</v>
      </c>
      <c r="E130">
        <v>204600</v>
      </c>
      <c r="F130" s="1" t="s">
        <v>1060</v>
      </c>
      <c r="G130" t="s">
        <v>57</v>
      </c>
      <c r="H130">
        <v>4</v>
      </c>
      <c r="I130" t="s">
        <v>25</v>
      </c>
      <c r="J130">
        <v>2</v>
      </c>
      <c r="K130" t="s">
        <v>52</v>
      </c>
      <c r="L130">
        <v>34</v>
      </c>
      <c r="M130" t="s">
        <v>27</v>
      </c>
      <c r="N130" t="s">
        <v>28</v>
      </c>
      <c r="O130">
        <v>2</v>
      </c>
      <c r="P130" t="s">
        <v>54</v>
      </c>
      <c r="Q130">
        <v>1</v>
      </c>
      <c r="R130" t="s">
        <v>30</v>
      </c>
      <c r="S130" t="s">
        <v>30</v>
      </c>
      <c r="T130" t="s">
        <v>31</v>
      </c>
    </row>
    <row r="131" spans="1:20" x14ac:dyDescent="0.35">
      <c r="A131" t="s">
        <v>188</v>
      </c>
      <c r="B131">
        <v>12</v>
      </c>
      <c r="C131" t="s">
        <v>21</v>
      </c>
      <c r="D131" t="s">
        <v>46</v>
      </c>
      <c r="E131">
        <v>384890</v>
      </c>
      <c r="F131" s="2" t="s">
        <v>1060</v>
      </c>
      <c r="G131" t="s">
        <v>34</v>
      </c>
      <c r="H131">
        <v>3</v>
      </c>
      <c r="I131" t="s">
        <v>35</v>
      </c>
      <c r="J131">
        <v>2</v>
      </c>
      <c r="K131" t="s">
        <v>26</v>
      </c>
      <c r="L131">
        <v>29</v>
      </c>
      <c r="M131" t="s">
        <v>27</v>
      </c>
      <c r="N131" t="s">
        <v>28</v>
      </c>
      <c r="O131">
        <v>2</v>
      </c>
      <c r="P131" t="s">
        <v>29</v>
      </c>
      <c r="Q131">
        <v>1</v>
      </c>
      <c r="R131" t="s">
        <v>27</v>
      </c>
      <c r="S131" t="s">
        <v>30</v>
      </c>
      <c r="T131" t="s">
        <v>31</v>
      </c>
    </row>
    <row r="132" spans="1:20" x14ac:dyDescent="0.35">
      <c r="A132" t="s">
        <v>189</v>
      </c>
      <c r="B132">
        <v>48</v>
      </c>
      <c r="C132" t="s">
        <v>33</v>
      </c>
      <c r="D132" t="s">
        <v>46</v>
      </c>
      <c r="E132">
        <v>933570</v>
      </c>
      <c r="F132" s="1" t="s">
        <v>23</v>
      </c>
      <c r="G132" t="s">
        <v>38</v>
      </c>
      <c r="H132">
        <v>1</v>
      </c>
      <c r="I132" t="s">
        <v>35</v>
      </c>
      <c r="J132">
        <v>2</v>
      </c>
      <c r="K132" t="s">
        <v>52</v>
      </c>
      <c r="L132">
        <v>24</v>
      </c>
      <c r="M132" t="s">
        <v>27</v>
      </c>
      <c r="N132" t="s">
        <v>28</v>
      </c>
      <c r="O132">
        <v>1</v>
      </c>
      <c r="P132" t="s">
        <v>29</v>
      </c>
      <c r="Q132">
        <v>1</v>
      </c>
      <c r="R132" t="s">
        <v>27</v>
      </c>
      <c r="S132" t="s">
        <v>30</v>
      </c>
      <c r="T132" t="s">
        <v>31</v>
      </c>
    </row>
    <row r="133" spans="1:20" x14ac:dyDescent="0.35">
      <c r="A133" t="s">
        <v>190</v>
      </c>
      <c r="B133">
        <v>36</v>
      </c>
      <c r="C133" t="s">
        <v>45</v>
      </c>
      <c r="D133" t="s">
        <v>37</v>
      </c>
      <c r="E133">
        <v>757570</v>
      </c>
      <c r="F133" s="2" t="s">
        <v>1060</v>
      </c>
      <c r="G133" t="s">
        <v>34</v>
      </c>
      <c r="H133">
        <v>4</v>
      </c>
      <c r="I133" t="s">
        <v>25</v>
      </c>
      <c r="J133">
        <v>3</v>
      </c>
      <c r="K133" t="s">
        <v>42</v>
      </c>
      <c r="L133">
        <v>29</v>
      </c>
      <c r="M133" t="s">
        <v>86</v>
      </c>
      <c r="N133" t="s">
        <v>28</v>
      </c>
      <c r="O133">
        <v>1</v>
      </c>
      <c r="P133" t="s">
        <v>29</v>
      </c>
      <c r="Q133">
        <v>1</v>
      </c>
      <c r="R133" t="s">
        <v>30</v>
      </c>
      <c r="S133" t="s">
        <v>30</v>
      </c>
      <c r="T133" t="s">
        <v>31</v>
      </c>
    </row>
    <row r="134" spans="1:20" x14ac:dyDescent="0.35">
      <c r="A134" t="s">
        <v>191</v>
      </c>
      <c r="B134">
        <v>15</v>
      </c>
      <c r="C134" t="s">
        <v>33</v>
      </c>
      <c r="D134" t="s">
        <v>41</v>
      </c>
      <c r="E134">
        <v>297880</v>
      </c>
      <c r="F134" s="1" t="s">
        <v>1060</v>
      </c>
      <c r="G134" t="s">
        <v>59</v>
      </c>
      <c r="H134">
        <v>2</v>
      </c>
      <c r="I134" t="s">
        <v>25</v>
      </c>
      <c r="J134">
        <v>3</v>
      </c>
      <c r="K134" t="s">
        <v>42</v>
      </c>
      <c r="L134">
        <v>27</v>
      </c>
      <c r="M134" t="s">
        <v>69</v>
      </c>
      <c r="N134" t="s">
        <v>28</v>
      </c>
      <c r="O134">
        <v>2</v>
      </c>
      <c r="P134" t="s">
        <v>39</v>
      </c>
      <c r="Q134">
        <v>1</v>
      </c>
      <c r="R134" t="s">
        <v>27</v>
      </c>
      <c r="S134" t="s">
        <v>30</v>
      </c>
      <c r="T134" t="s">
        <v>31</v>
      </c>
    </row>
    <row r="135" spans="1:20" x14ac:dyDescent="0.35">
      <c r="A135" t="s">
        <v>192</v>
      </c>
      <c r="B135">
        <v>18</v>
      </c>
      <c r="C135" t="s">
        <v>33</v>
      </c>
      <c r="D135" t="s">
        <v>41</v>
      </c>
      <c r="E135">
        <v>218240</v>
      </c>
      <c r="F135" s="2" t="s">
        <v>1060</v>
      </c>
      <c r="G135" t="s">
        <v>34</v>
      </c>
      <c r="H135">
        <v>4</v>
      </c>
      <c r="I135" t="s">
        <v>25</v>
      </c>
      <c r="J135">
        <v>4</v>
      </c>
      <c r="K135" t="s">
        <v>47</v>
      </c>
      <c r="L135">
        <v>47</v>
      </c>
      <c r="M135" t="s">
        <v>69</v>
      </c>
      <c r="N135" t="s">
        <v>43</v>
      </c>
      <c r="O135">
        <v>2</v>
      </c>
      <c r="P135" t="s">
        <v>29</v>
      </c>
      <c r="Q135">
        <v>1</v>
      </c>
      <c r="R135" t="s">
        <v>27</v>
      </c>
      <c r="S135" t="s">
        <v>30</v>
      </c>
      <c r="T135" t="s">
        <v>31</v>
      </c>
    </row>
    <row r="136" spans="1:20" x14ac:dyDescent="0.35">
      <c r="A136" t="s">
        <v>193</v>
      </c>
      <c r="B136">
        <v>60</v>
      </c>
      <c r="C136" t="s">
        <v>33</v>
      </c>
      <c r="D136" t="s">
        <v>22</v>
      </c>
      <c r="E136">
        <v>1115840</v>
      </c>
      <c r="F136" s="1" t="s">
        <v>1063</v>
      </c>
      <c r="G136" t="s">
        <v>38</v>
      </c>
      <c r="H136">
        <v>2</v>
      </c>
      <c r="I136" t="s">
        <v>35</v>
      </c>
      <c r="J136">
        <v>4</v>
      </c>
      <c r="K136" t="s">
        <v>26</v>
      </c>
      <c r="L136">
        <v>21</v>
      </c>
      <c r="M136" t="s">
        <v>27</v>
      </c>
      <c r="N136" t="s">
        <v>28</v>
      </c>
      <c r="O136">
        <v>1</v>
      </c>
      <c r="P136" t="s">
        <v>29</v>
      </c>
      <c r="Q136">
        <v>1</v>
      </c>
      <c r="R136" t="s">
        <v>30</v>
      </c>
      <c r="S136" t="s">
        <v>30</v>
      </c>
      <c r="T136" t="s">
        <v>31</v>
      </c>
    </row>
    <row r="137" spans="1:20" x14ac:dyDescent="0.35">
      <c r="A137" t="s">
        <v>194</v>
      </c>
      <c r="B137">
        <v>12</v>
      </c>
      <c r="C137" t="s">
        <v>21</v>
      </c>
      <c r="D137" t="s">
        <v>22</v>
      </c>
      <c r="E137">
        <v>136400</v>
      </c>
      <c r="F137" s="2" t="s">
        <v>23</v>
      </c>
      <c r="G137" t="s">
        <v>24</v>
      </c>
      <c r="H137">
        <v>4</v>
      </c>
      <c r="I137" t="s">
        <v>35</v>
      </c>
      <c r="J137">
        <v>2</v>
      </c>
      <c r="K137" t="s">
        <v>26</v>
      </c>
      <c r="L137">
        <v>38</v>
      </c>
      <c r="M137" t="s">
        <v>27</v>
      </c>
      <c r="N137" t="s">
        <v>28</v>
      </c>
      <c r="O137">
        <v>2</v>
      </c>
      <c r="P137" t="s">
        <v>29</v>
      </c>
      <c r="Q137">
        <v>1</v>
      </c>
      <c r="R137" t="s">
        <v>30</v>
      </c>
      <c r="S137" t="s">
        <v>30</v>
      </c>
      <c r="T137" t="s">
        <v>31</v>
      </c>
    </row>
    <row r="138" spans="1:20" x14ac:dyDescent="0.35">
      <c r="A138" t="s">
        <v>195</v>
      </c>
      <c r="B138">
        <v>27</v>
      </c>
      <c r="C138" t="s">
        <v>45</v>
      </c>
      <c r="D138" t="s">
        <v>51</v>
      </c>
      <c r="E138">
        <v>947430</v>
      </c>
      <c r="F138" s="1" t="s">
        <v>1062</v>
      </c>
      <c r="G138" t="s">
        <v>34</v>
      </c>
      <c r="H138">
        <v>2</v>
      </c>
      <c r="I138" t="s">
        <v>25</v>
      </c>
      <c r="J138">
        <v>2</v>
      </c>
      <c r="K138" t="s">
        <v>52</v>
      </c>
      <c r="L138">
        <v>27</v>
      </c>
      <c r="M138" t="s">
        <v>27</v>
      </c>
      <c r="N138" t="s">
        <v>28</v>
      </c>
      <c r="O138">
        <v>2</v>
      </c>
      <c r="P138" t="s">
        <v>29</v>
      </c>
      <c r="Q138">
        <v>1</v>
      </c>
      <c r="R138" t="s">
        <v>27</v>
      </c>
      <c r="S138" t="s">
        <v>30</v>
      </c>
      <c r="T138" t="s">
        <v>31</v>
      </c>
    </row>
    <row r="139" spans="1:20" x14ac:dyDescent="0.35">
      <c r="A139" t="s">
        <v>196</v>
      </c>
      <c r="B139">
        <v>12</v>
      </c>
      <c r="C139" t="s">
        <v>33</v>
      </c>
      <c r="D139" t="s">
        <v>22</v>
      </c>
      <c r="E139">
        <v>84260</v>
      </c>
      <c r="F139" s="2" t="s">
        <v>1061</v>
      </c>
      <c r="G139" t="s">
        <v>34</v>
      </c>
      <c r="H139">
        <v>4</v>
      </c>
      <c r="I139" t="s">
        <v>25</v>
      </c>
      <c r="J139">
        <v>3</v>
      </c>
      <c r="K139" t="s">
        <v>26</v>
      </c>
      <c r="L139">
        <v>66</v>
      </c>
      <c r="M139" t="s">
        <v>27</v>
      </c>
      <c r="N139" t="s">
        <v>28</v>
      </c>
      <c r="O139">
        <v>1</v>
      </c>
      <c r="P139" t="s">
        <v>39</v>
      </c>
      <c r="Q139">
        <v>1</v>
      </c>
      <c r="R139" t="s">
        <v>27</v>
      </c>
      <c r="S139" t="s">
        <v>30</v>
      </c>
      <c r="T139" t="s">
        <v>31</v>
      </c>
    </row>
    <row r="140" spans="1:20" x14ac:dyDescent="0.35">
      <c r="A140" t="s">
        <v>197</v>
      </c>
      <c r="B140">
        <v>15</v>
      </c>
      <c r="C140" t="s">
        <v>21</v>
      </c>
      <c r="D140" t="s">
        <v>22</v>
      </c>
      <c r="E140">
        <v>300080</v>
      </c>
      <c r="F140" s="1" t="s">
        <v>23</v>
      </c>
      <c r="G140" t="s">
        <v>38</v>
      </c>
      <c r="H140">
        <v>4</v>
      </c>
      <c r="I140" t="s">
        <v>25</v>
      </c>
      <c r="J140">
        <v>2</v>
      </c>
      <c r="K140" t="s">
        <v>26</v>
      </c>
      <c r="L140">
        <v>35</v>
      </c>
      <c r="M140" t="s">
        <v>69</v>
      </c>
      <c r="N140" t="s">
        <v>28</v>
      </c>
      <c r="O140">
        <v>3</v>
      </c>
      <c r="P140" t="s">
        <v>29</v>
      </c>
      <c r="Q140">
        <v>1</v>
      </c>
      <c r="R140" t="s">
        <v>30</v>
      </c>
      <c r="S140" t="s">
        <v>30</v>
      </c>
      <c r="T140" t="s">
        <v>31</v>
      </c>
    </row>
    <row r="141" spans="1:20" x14ac:dyDescent="0.35">
      <c r="A141" t="s">
        <v>198</v>
      </c>
      <c r="B141">
        <v>12</v>
      </c>
      <c r="C141" t="s">
        <v>33</v>
      </c>
      <c r="D141" t="s">
        <v>22</v>
      </c>
      <c r="E141">
        <v>206910</v>
      </c>
      <c r="F141" s="2" t="s">
        <v>1060</v>
      </c>
      <c r="G141" t="s">
        <v>34</v>
      </c>
      <c r="H141">
        <v>2</v>
      </c>
      <c r="I141" t="s">
        <v>35</v>
      </c>
      <c r="J141">
        <v>2</v>
      </c>
      <c r="K141" t="s">
        <v>52</v>
      </c>
      <c r="L141">
        <v>44</v>
      </c>
      <c r="M141" t="s">
        <v>27</v>
      </c>
      <c r="N141" t="s">
        <v>53</v>
      </c>
      <c r="O141">
        <v>1</v>
      </c>
      <c r="P141" t="s">
        <v>39</v>
      </c>
      <c r="Q141">
        <v>1</v>
      </c>
      <c r="R141" t="s">
        <v>30</v>
      </c>
      <c r="S141" t="s">
        <v>30</v>
      </c>
      <c r="T141" t="s">
        <v>31</v>
      </c>
    </row>
    <row r="142" spans="1:20" x14ac:dyDescent="0.35">
      <c r="A142" t="s">
        <v>199</v>
      </c>
      <c r="B142">
        <v>6</v>
      </c>
      <c r="C142" t="s">
        <v>33</v>
      </c>
      <c r="D142" t="s">
        <v>46</v>
      </c>
      <c r="E142">
        <v>77990</v>
      </c>
      <c r="F142" s="1" t="s">
        <v>1062</v>
      </c>
      <c r="G142" t="s">
        <v>59</v>
      </c>
      <c r="H142">
        <v>2</v>
      </c>
      <c r="I142" t="s">
        <v>25</v>
      </c>
      <c r="J142">
        <v>2</v>
      </c>
      <c r="K142" t="s">
        <v>26</v>
      </c>
      <c r="L142">
        <v>27</v>
      </c>
      <c r="M142" t="s">
        <v>27</v>
      </c>
      <c r="N142" t="s">
        <v>28</v>
      </c>
      <c r="O142">
        <v>1</v>
      </c>
      <c r="P142" t="s">
        <v>105</v>
      </c>
      <c r="Q142">
        <v>1</v>
      </c>
      <c r="R142" t="s">
        <v>27</v>
      </c>
      <c r="S142" t="s">
        <v>75</v>
      </c>
      <c r="T142" t="s">
        <v>31</v>
      </c>
    </row>
    <row r="143" spans="1:20" x14ac:dyDescent="0.35">
      <c r="A143" t="s">
        <v>200</v>
      </c>
      <c r="B143">
        <v>36</v>
      </c>
      <c r="C143" t="s">
        <v>33</v>
      </c>
      <c r="D143" t="s">
        <v>22</v>
      </c>
      <c r="E143">
        <v>527450</v>
      </c>
      <c r="F143" s="2" t="s">
        <v>1060</v>
      </c>
      <c r="G143" t="s">
        <v>59</v>
      </c>
      <c r="H143">
        <v>4</v>
      </c>
      <c r="I143" t="s">
        <v>35</v>
      </c>
      <c r="J143">
        <v>1</v>
      </c>
      <c r="K143" t="s">
        <v>47</v>
      </c>
      <c r="L143">
        <v>30</v>
      </c>
      <c r="M143" t="s">
        <v>27</v>
      </c>
      <c r="N143" t="s">
        <v>28</v>
      </c>
      <c r="O143">
        <v>1</v>
      </c>
      <c r="P143" t="s">
        <v>54</v>
      </c>
      <c r="Q143">
        <v>1</v>
      </c>
      <c r="R143" t="s">
        <v>30</v>
      </c>
      <c r="S143" t="s">
        <v>30</v>
      </c>
      <c r="T143" t="s">
        <v>31</v>
      </c>
    </row>
    <row r="144" spans="1:20" x14ac:dyDescent="0.35">
      <c r="A144" t="s">
        <v>201</v>
      </c>
      <c r="B144">
        <v>27</v>
      </c>
      <c r="C144" t="s">
        <v>33</v>
      </c>
      <c r="D144" t="s">
        <v>22</v>
      </c>
      <c r="E144">
        <v>375760</v>
      </c>
      <c r="F144" s="1" t="s">
        <v>1060</v>
      </c>
      <c r="G144" t="s">
        <v>34</v>
      </c>
      <c r="H144">
        <v>3</v>
      </c>
      <c r="I144" t="s">
        <v>25</v>
      </c>
      <c r="J144">
        <v>2</v>
      </c>
      <c r="K144" t="s">
        <v>52</v>
      </c>
      <c r="L144">
        <v>27</v>
      </c>
      <c r="M144" t="s">
        <v>27</v>
      </c>
      <c r="N144" t="s">
        <v>28</v>
      </c>
      <c r="O144">
        <v>1</v>
      </c>
      <c r="P144" t="s">
        <v>54</v>
      </c>
      <c r="Q144">
        <v>1</v>
      </c>
      <c r="R144" t="s">
        <v>27</v>
      </c>
      <c r="S144" t="s">
        <v>30</v>
      </c>
      <c r="T144" t="s">
        <v>31</v>
      </c>
    </row>
    <row r="145" spans="1:20" x14ac:dyDescent="0.35">
      <c r="A145" t="s">
        <v>202</v>
      </c>
      <c r="B145">
        <v>18</v>
      </c>
      <c r="C145" t="s">
        <v>33</v>
      </c>
      <c r="D145" t="s">
        <v>41</v>
      </c>
      <c r="E145">
        <v>270820</v>
      </c>
      <c r="F145" s="2" t="s">
        <v>1060</v>
      </c>
      <c r="G145" t="s">
        <v>34</v>
      </c>
      <c r="H145">
        <v>2</v>
      </c>
      <c r="I145" t="s">
        <v>25</v>
      </c>
      <c r="J145">
        <v>2</v>
      </c>
      <c r="K145" t="s">
        <v>52</v>
      </c>
      <c r="L145">
        <v>22</v>
      </c>
      <c r="M145" t="s">
        <v>27</v>
      </c>
      <c r="N145" t="s">
        <v>28</v>
      </c>
      <c r="O145">
        <v>1</v>
      </c>
      <c r="P145" t="s">
        <v>29</v>
      </c>
      <c r="Q145">
        <v>1</v>
      </c>
      <c r="R145" t="s">
        <v>27</v>
      </c>
      <c r="S145" t="s">
        <v>30</v>
      </c>
      <c r="T145" t="s">
        <v>31</v>
      </c>
    </row>
    <row r="146" spans="1:20" x14ac:dyDescent="0.35">
      <c r="A146" t="s">
        <v>203</v>
      </c>
      <c r="B146">
        <v>21</v>
      </c>
      <c r="C146" t="s">
        <v>21</v>
      </c>
      <c r="D146" t="s">
        <v>41</v>
      </c>
      <c r="E146">
        <v>251680</v>
      </c>
      <c r="F146" s="1" t="s">
        <v>1060</v>
      </c>
      <c r="G146" t="s">
        <v>59</v>
      </c>
      <c r="H146">
        <v>4</v>
      </c>
      <c r="I146" t="s">
        <v>35</v>
      </c>
      <c r="J146">
        <v>4</v>
      </c>
      <c r="K146" t="s">
        <v>42</v>
      </c>
      <c r="L146">
        <v>23</v>
      </c>
      <c r="M146" t="s">
        <v>27</v>
      </c>
      <c r="N146" t="s">
        <v>28</v>
      </c>
      <c r="O146">
        <v>1</v>
      </c>
      <c r="P146" t="s">
        <v>29</v>
      </c>
      <c r="Q146">
        <v>1</v>
      </c>
      <c r="R146" t="s">
        <v>30</v>
      </c>
      <c r="S146" t="s">
        <v>30</v>
      </c>
      <c r="T146" t="s">
        <v>31</v>
      </c>
    </row>
    <row r="147" spans="1:20" x14ac:dyDescent="0.35">
      <c r="A147" t="s">
        <v>204</v>
      </c>
      <c r="B147">
        <v>48</v>
      </c>
      <c r="C147" t="s">
        <v>81</v>
      </c>
      <c r="D147" t="s">
        <v>61</v>
      </c>
      <c r="E147">
        <v>392260</v>
      </c>
      <c r="F147" s="2" t="s">
        <v>1063</v>
      </c>
      <c r="G147" t="s">
        <v>38</v>
      </c>
      <c r="H147">
        <v>4</v>
      </c>
      <c r="I147" t="s">
        <v>25</v>
      </c>
      <c r="J147">
        <v>2</v>
      </c>
      <c r="K147" t="s">
        <v>52</v>
      </c>
      <c r="L147">
        <v>30</v>
      </c>
      <c r="M147" t="s">
        <v>27</v>
      </c>
      <c r="N147" t="s">
        <v>28</v>
      </c>
      <c r="O147">
        <v>1</v>
      </c>
      <c r="P147" t="s">
        <v>29</v>
      </c>
      <c r="Q147">
        <v>1</v>
      </c>
      <c r="R147" t="s">
        <v>27</v>
      </c>
      <c r="S147" t="s">
        <v>30</v>
      </c>
      <c r="T147" t="s">
        <v>31</v>
      </c>
    </row>
    <row r="148" spans="1:20" x14ac:dyDescent="0.35">
      <c r="A148" t="s">
        <v>205</v>
      </c>
      <c r="B148">
        <v>6</v>
      </c>
      <c r="C148" t="s">
        <v>21</v>
      </c>
      <c r="D148" t="s">
        <v>46</v>
      </c>
      <c r="E148">
        <v>94600</v>
      </c>
      <c r="F148" s="1" t="s">
        <v>1060</v>
      </c>
      <c r="G148" t="s">
        <v>24</v>
      </c>
      <c r="H148">
        <v>1</v>
      </c>
      <c r="I148" t="s">
        <v>35</v>
      </c>
      <c r="J148">
        <v>4</v>
      </c>
      <c r="K148" t="s">
        <v>47</v>
      </c>
      <c r="L148">
        <v>39</v>
      </c>
      <c r="M148" t="s">
        <v>27</v>
      </c>
      <c r="N148" t="s">
        <v>28</v>
      </c>
      <c r="O148">
        <v>2</v>
      </c>
      <c r="P148" t="s">
        <v>29</v>
      </c>
      <c r="Q148">
        <v>1</v>
      </c>
      <c r="R148" t="s">
        <v>30</v>
      </c>
      <c r="S148" t="s">
        <v>30</v>
      </c>
      <c r="T148" t="s">
        <v>31</v>
      </c>
    </row>
    <row r="149" spans="1:20" x14ac:dyDescent="0.35">
      <c r="A149" t="s">
        <v>206</v>
      </c>
      <c r="B149">
        <v>12</v>
      </c>
      <c r="C149" t="s">
        <v>21</v>
      </c>
      <c r="D149" t="s">
        <v>46</v>
      </c>
      <c r="E149">
        <v>75020</v>
      </c>
      <c r="F149" s="2" t="s">
        <v>1063</v>
      </c>
      <c r="G149" t="s">
        <v>38</v>
      </c>
      <c r="H149">
        <v>4</v>
      </c>
      <c r="I149" t="s">
        <v>35</v>
      </c>
      <c r="J149">
        <v>3</v>
      </c>
      <c r="K149" t="s">
        <v>52</v>
      </c>
      <c r="L149">
        <v>51</v>
      </c>
      <c r="M149" t="s">
        <v>27</v>
      </c>
      <c r="N149" t="s">
        <v>28</v>
      </c>
      <c r="O149">
        <v>2</v>
      </c>
      <c r="P149" t="s">
        <v>29</v>
      </c>
      <c r="Q149">
        <v>1</v>
      </c>
      <c r="R149" t="s">
        <v>30</v>
      </c>
      <c r="S149" t="s">
        <v>30</v>
      </c>
      <c r="T149" t="s">
        <v>31</v>
      </c>
    </row>
    <row r="150" spans="1:20" x14ac:dyDescent="0.35">
      <c r="A150" t="s">
        <v>207</v>
      </c>
      <c r="B150">
        <v>36</v>
      </c>
      <c r="C150" t="s">
        <v>21</v>
      </c>
      <c r="D150" t="s">
        <v>41</v>
      </c>
      <c r="E150">
        <v>590810</v>
      </c>
      <c r="F150" s="1" t="s">
        <v>1060</v>
      </c>
      <c r="G150" t="s">
        <v>34</v>
      </c>
      <c r="H150">
        <v>3</v>
      </c>
      <c r="I150" t="s">
        <v>25</v>
      </c>
      <c r="J150">
        <v>2</v>
      </c>
      <c r="K150" t="s">
        <v>42</v>
      </c>
      <c r="L150">
        <v>28</v>
      </c>
      <c r="M150" t="s">
        <v>27</v>
      </c>
      <c r="N150" t="s">
        <v>28</v>
      </c>
      <c r="O150">
        <v>2</v>
      </c>
      <c r="P150" t="s">
        <v>29</v>
      </c>
      <c r="Q150">
        <v>1</v>
      </c>
      <c r="R150" t="s">
        <v>27</v>
      </c>
      <c r="S150" t="s">
        <v>30</v>
      </c>
      <c r="T150" t="s">
        <v>31</v>
      </c>
    </row>
    <row r="151" spans="1:20" x14ac:dyDescent="0.35">
      <c r="A151" t="s">
        <v>208</v>
      </c>
      <c r="B151">
        <v>18</v>
      </c>
      <c r="C151" t="s">
        <v>21</v>
      </c>
      <c r="D151" t="s">
        <v>22</v>
      </c>
      <c r="E151">
        <v>174020</v>
      </c>
      <c r="F151" s="2" t="s">
        <v>1062</v>
      </c>
      <c r="G151" t="s">
        <v>24</v>
      </c>
      <c r="H151">
        <v>4</v>
      </c>
      <c r="I151" t="s">
        <v>25</v>
      </c>
      <c r="J151">
        <v>4</v>
      </c>
      <c r="K151" t="s">
        <v>52</v>
      </c>
      <c r="L151">
        <v>46</v>
      </c>
      <c r="M151" t="s">
        <v>27</v>
      </c>
      <c r="N151" t="s">
        <v>28</v>
      </c>
      <c r="O151">
        <v>2</v>
      </c>
      <c r="P151" t="s">
        <v>29</v>
      </c>
      <c r="Q151">
        <v>1</v>
      </c>
      <c r="R151" t="s">
        <v>27</v>
      </c>
      <c r="S151" t="s">
        <v>30</v>
      </c>
      <c r="T151" t="s">
        <v>31</v>
      </c>
    </row>
    <row r="152" spans="1:20" x14ac:dyDescent="0.35">
      <c r="A152" t="s">
        <v>209</v>
      </c>
      <c r="B152">
        <v>6</v>
      </c>
      <c r="C152" t="s">
        <v>33</v>
      </c>
      <c r="D152" t="s">
        <v>22</v>
      </c>
      <c r="E152">
        <v>148060</v>
      </c>
      <c r="F152" s="1" t="s">
        <v>1063</v>
      </c>
      <c r="G152" t="s">
        <v>24</v>
      </c>
      <c r="H152">
        <v>2</v>
      </c>
      <c r="I152" t="s">
        <v>25</v>
      </c>
      <c r="J152">
        <v>4</v>
      </c>
      <c r="K152" t="s">
        <v>47</v>
      </c>
      <c r="L152">
        <v>42</v>
      </c>
      <c r="M152" t="s">
        <v>69</v>
      </c>
      <c r="N152" t="s">
        <v>43</v>
      </c>
      <c r="O152">
        <v>1</v>
      </c>
      <c r="P152" t="s">
        <v>29</v>
      </c>
      <c r="Q152">
        <v>2</v>
      </c>
      <c r="R152" t="s">
        <v>30</v>
      </c>
      <c r="S152" t="s">
        <v>30</v>
      </c>
      <c r="T152" t="s">
        <v>31</v>
      </c>
    </row>
    <row r="153" spans="1:20" x14ac:dyDescent="0.35">
      <c r="A153" t="s">
        <v>210</v>
      </c>
      <c r="B153">
        <v>10</v>
      </c>
      <c r="C153" t="s">
        <v>33</v>
      </c>
      <c r="D153" t="s">
        <v>22</v>
      </c>
      <c r="E153">
        <v>211640</v>
      </c>
      <c r="F153" s="2" t="s">
        <v>1060</v>
      </c>
      <c r="G153" t="s">
        <v>34</v>
      </c>
      <c r="H153">
        <v>1</v>
      </c>
      <c r="I153" t="s">
        <v>25</v>
      </c>
      <c r="J153">
        <v>4</v>
      </c>
      <c r="K153" t="s">
        <v>42</v>
      </c>
      <c r="L153">
        <v>38</v>
      </c>
      <c r="M153" t="s">
        <v>27</v>
      </c>
      <c r="N153" t="s">
        <v>28</v>
      </c>
      <c r="O153">
        <v>1</v>
      </c>
      <c r="P153" t="s">
        <v>29</v>
      </c>
      <c r="Q153">
        <v>1</v>
      </c>
      <c r="R153" t="s">
        <v>30</v>
      </c>
      <c r="S153" t="s">
        <v>75</v>
      </c>
      <c r="T153" t="s">
        <v>31</v>
      </c>
    </row>
    <row r="154" spans="1:20" x14ac:dyDescent="0.35">
      <c r="A154" t="s">
        <v>211</v>
      </c>
      <c r="B154">
        <v>36</v>
      </c>
      <c r="C154" t="s">
        <v>33</v>
      </c>
      <c r="D154" t="s">
        <v>22</v>
      </c>
      <c r="E154">
        <v>643280</v>
      </c>
      <c r="F154" s="1" t="s">
        <v>1060</v>
      </c>
      <c r="G154" t="s">
        <v>34</v>
      </c>
      <c r="H154">
        <v>4</v>
      </c>
      <c r="I154" t="s">
        <v>25</v>
      </c>
      <c r="J154">
        <v>1</v>
      </c>
      <c r="K154" t="s">
        <v>52</v>
      </c>
      <c r="L154">
        <v>24</v>
      </c>
      <c r="M154" t="s">
        <v>27</v>
      </c>
      <c r="N154" t="s">
        <v>28</v>
      </c>
      <c r="O154">
        <v>1</v>
      </c>
      <c r="P154" t="s">
        <v>29</v>
      </c>
      <c r="Q154">
        <v>1</v>
      </c>
      <c r="R154" t="s">
        <v>27</v>
      </c>
      <c r="S154" t="s">
        <v>30</v>
      </c>
      <c r="T154" t="s">
        <v>31</v>
      </c>
    </row>
    <row r="155" spans="1:20" x14ac:dyDescent="0.35">
      <c r="A155" t="s">
        <v>212</v>
      </c>
      <c r="B155">
        <v>24</v>
      </c>
      <c r="C155" t="s">
        <v>21</v>
      </c>
      <c r="D155" t="s">
        <v>51</v>
      </c>
      <c r="E155">
        <v>853380</v>
      </c>
      <c r="F155" s="2" t="s">
        <v>1062</v>
      </c>
      <c r="G155" t="s">
        <v>24</v>
      </c>
      <c r="H155">
        <v>2</v>
      </c>
      <c r="I155" t="s">
        <v>35</v>
      </c>
      <c r="J155">
        <v>4</v>
      </c>
      <c r="K155" t="s">
        <v>47</v>
      </c>
      <c r="L155">
        <v>29</v>
      </c>
      <c r="M155" t="s">
        <v>27</v>
      </c>
      <c r="N155" t="s">
        <v>53</v>
      </c>
      <c r="O155">
        <v>1</v>
      </c>
      <c r="P155" t="s">
        <v>29</v>
      </c>
      <c r="Q155">
        <v>1</v>
      </c>
      <c r="R155" t="s">
        <v>27</v>
      </c>
      <c r="S155" t="s">
        <v>30</v>
      </c>
      <c r="T155" t="s">
        <v>31</v>
      </c>
    </row>
    <row r="156" spans="1:20" x14ac:dyDescent="0.35">
      <c r="A156" t="s">
        <v>213</v>
      </c>
      <c r="B156">
        <v>24</v>
      </c>
      <c r="C156" t="s">
        <v>45</v>
      </c>
      <c r="D156" t="s">
        <v>61</v>
      </c>
      <c r="E156">
        <v>766370</v>
      </c>
      <c r="F156" s="1" t="s">
        <v>1063</v>
      </c>
      <c r="G156" t="s">
        <v>38</v>
      </c>
      <c r="H156">
        <v>4</v>
      </c>
      <c r="I156" t="s">
        <v>25</v>
      </c>
      <c r="J156">
        <v>4</v>
      </c>
      <c r="K156" t="s">
        <v>52</v>
      </c>
      <c r="L156">
        <v>36</v>
      </c>
      <c r="M156" t="s">
        <v>27</v>
      </c>
      <c r="N156" t="s">
        <v>53</v>
      </c>
      <c r="O156">
        <v>1</v>
      </c>
      <c r="P156" t="s">
        <v>54</v>
      </c>
      <c r="Q156">
        <v>1</v>
      </c>
      <c r="R156" t="s">
        <v>30</v>
      </c>
      <c r="S156" t="s">
        <v>30</v>
      </c>
      <c r="T156" t="s">
        <v>31</v>
      </c>
    </row>
    <row r="157" spans="1:20" x14ac:dyDescent="0.35">
      <c r="A157" t="s">
        <v>214</v>
      </c>
      <c r="B157">
        <v>12</v>
      </c>
      <c r="C157" t="s">
        <v>33</v>
      </c>
      <c r="D157" t="s">
        <v>41</v>
      </c>
      <c r="E157">
        <v>141020</v>
      </c>
      <c r="F157" s="2" t="s">
        <v>1060</v>
      </c>
      <c r="G157" t="s">
        <v>34</v>
      </c>
      <c r="H157">
        <v>2</v>
      </c>
      <c r="I157" t="s">
        <v>35</v>
      </c>
      <c r="J157">
        <v>4</v>
      </c>
      <c r="K157" t="s">
        <v>52</v>
      </c>
      <c r="L157">
        <v>20</v>
      </c>
      <c r="M157" t="s">
        <v>27</v>
      </c>
      <c r="N157" t="s">
        <v>53</v>
      </c>
      <c r="O157">
        <v>1</v>
      </c>
      <c r="P157" t="s">
        <v>29</v>
      </c>
      <c r="Q157">
        <v>1</v>
      </c>
      <c r="R157" t="s">
        <v>27</v>
      </c>
      <c r="S157" t="s">
        <v>30</v>
      </c>
      <c r="T157" t="s">
        <v>31</v>
      </c>
    </row>
    <row r="158" spans="1:20" x14ac:dyDescent="0.35">
      <c r="A158" t="s">
        <v>215</v>
      </c>
      <c r="B158">
        <v>9</v>
      </c>
      <c r="C158" t="s">
        <v>21</v>
      </c>
      <c r="D158" t="s">
        <v>99</v>
      </c>
      <c r="E158">
        <v>141680</v>
      </c>
      <c r="F158" s="1" t="s">
        <v>1063</v>
      </c>
      <c r="G158" t="s">
        <v>24</v>
      </c>
      <c r="H158">
        <v>3</v>
      </c>
      <c r="I158" t="s">
        <v>25</v>
      </c>
      <c r="J158">
        <v>4</v>
      </c>
      <c r="K158" t="s">
        <v>26</v>
      </c>
      <c r="L158">
        <v>48</v>
      </c>
      <c r="M158" t="s">
        <v>27</v>
      </c>
      <c r="N158" t="s">
        <v>28</v>
      </c>
      <c r="O158">
        <v>2</v>
      </c>
      <c r="P158" t="s">
        <v>29</v>
      </c>
      <c r="Q158">
        <v>2</v>
      </c>
      <c r="R158" t="s">
        <v>27</v>
      </c>
      <c r="S158" t="s">
        <v>75</v>
      </c>
      <c r="T158" t="s">
        <v>31</v>
      </c>
    </row>
    <row r="159" spans="1:20" x14ac:dyDescent="0.35">
      <c r="A159" t="s">
        <v>216</v>
      </c>
      <c r="B159">
        <v>12</v>
      </c>
      <c r="C159" t="s">
        <v>81</v>
      </c>
      <c r="D159" t="s">
        <v>217</v>
      </c>
      <c r="E159">
        <v>37290</v>
      </c>
      <c r="F159" s="2" t="s">
        <v>1060</v>
      </c>
      <c r="G159" t="s">
        <v>24</v>
      </c>
      <c r="H159">
        <v>4</v>
      </c>
      <c r="I159" t="s">
        <v>25</v>
      </c>
      <c r="J159">
        <v>1</v>
      </c>
      <c r="K159" t="s">
        <v>52</v>
      </c>
      <c r="L159">
        <v>45</v>
      </c>
      <c r="M159" t="s">
        <v>69</v>
      </c>
      <c r="N159" t="s">
        <v>28</v>
      </c>
      <c r="O159">
        <v>1</v>
      </c>
      <c r="P159" t="s">
        <v>39</v>
      </c>
      <c r="Q159">
        <v>1</v>
      </c>
      <c r="R159" t="s">
        <v>27</v>
      </c>
      <c r="S159" t="s">
        <v>30</v>
      </c>
      <c r="T159" t="s">
        <v>31</v>
      </c>
    </row>
    <row r="160" spans="1:20" x14ac:dyDescent="0.35">
      <c r="A160" t="s">
        <v>218</v>
      </c>
      <c r="B160">
        <v>24</v>
      </c>
      <c r="C160" t="s">
        <v>33</v>
      </c>
      <c r="D160" t="s">
        <v>46</v>
      </c>
      <c r="E160">
        <v>386320</v>
      </c>
      <c r="F160" s="1" t="s">
        <v>1063</v>
      </c>
      <c r="G160" t="s">
        <v>38</v>
      </c>
      <c r="H160">
        <v>2</v>
      </c>
      <c r="I160" t="s">
        <v>25</v>
      </c>
      <c r="J160">
        <v>3</v>
      </c>
      <c r="K160" t="s">
        <v>52</v>
      </c>
      <c r="L160">
        <v>38</v>
      </c>
      <c r="M160" t="s">
        <v>69</v>
      </c>
      <c r="N160" t="s">
        <v>28</v>
      </c>
      <c r="O160">
        <v>2</v>
      </c>
      <c r="P160" t="s">
        <v>29</v>
      </c>
      <c r="Q160">
        <v>1</v>
      </c>
      <c r="R160" t="s">
        <v>30</v>
      </c>
      <c r="S160" t="s">
        <v>30</v>
      </c>
      <c r="T160" t="s">
        <v>31</v>
      </c>
    </row>
    <row r="161" spans="1:20" x14ac:dyDescent="0.35">
      <c r="A161" t="s">
        <v>219</v>
      </c>
      <c r="B161">
        <v>6</v>
      </c>
      <c r="C161" t="s">
        <v>21</v>
      </c>
      <c r="D161" t="s">
        <v>22</v>
      </c>
      <c r="E161">
        <v>208780</v>
      </c>
      <c r="F161" s="2" t="s">
        <v>23</v>
      </c>
      <c r="G161" t="s">
        <v>34</v>
      </c>
      <c r="H161">
        <v>1</v>
      </c>
      <c r="I161" t="s">
        <v>25</v>
      </c>
      <c r="J161">
        <v>2</v>
      </c>
      <c r="K161" t="s">
        <v>26</v>
      </c>
      <c r="L161">
        <v>34</v>
      </c>
      <c r="M161" t="s">
        <v>27</v>
      </c>
      <c r="N161" t="s">
        <v>28</v>
      </c>
      <c r="O161">
        <v>2</v>
      </c>
      <c r="P161" t="s">
        <v>39</v>
      </c>
      <c r="Q161">
        <v>2</v>
      </c>
      <c r="R161" t="s">
        <v>27</v>
      </c>
      <c r="S161" t="s">
        <v>30</v>
      </c>
      <c r="T161" t="s">
        <v>31</v>
      </c>
    </row>
    <row r="162" spans="1:20" x14ac:dyDescent="0.35">
      <c r="A162" t="s">
        <v>220</v>
      </c>
      <c r="B162">
        <v>24</v>
      </c>
      <c r="C162" t="s">
        <v>21</v>
      </c>
      <c r="D162" t="s">
        <v>22</v>
      </c>
      <c r="E162">
        <v>315920</v>
      </c>
      <c r="F162" s="1" t="s">
        <v>1063</v>
      </c>
      <c r="G162" t="s">
        <v>24</v>
      </c>
      <c r="H162">
        <v>3</v>
      </c>
      <c r="I162" t="s">
        <v>25</v>
      </c>
      <c r="J162">
        <v>4</v>
      </c>
      <c r="K162" t="s">
        <v>26</v>
      </c>
      <c r="L162">
        <v>36</v>
      </c>
      <c r="M162" t="s">
        <v>27</v>
      </c>
      <c r="N162" t="s">
        <v>28</v>
      </c>
      <c r="O162">
        <v>1</v>
      </c>
      <c r="P162" t="s">
        <v>29</v>
      </c>
      <c r="Q162">
        <v>2</v>
      </c>
      <c r="R162" t="s">
        <v>30</v>
      </c>
      <c r="S162" t="s">
        <v>30</v>
      </c>
      <c r="T162" t="s">
        <v>31</v>
      </c>
    </row>
    <row r="163" spans="1:20" x14ac:dyDescent="0.35">
      <c r="A163" t="s">
        <v>221</v>
      </c>
      <c r="B163">
        <v>18</v>
      </c>
      <c r="C163" t="s">
        <v>21</v>
      </c>
      <c r="D163" t="s">
        <v>46</v>
      </c>
      <c r="E163">
        <v>116050</v>
      </c>
      <c r="F163" s="2" t="s">
        <v>1060</v>
      </c>
      <c r="G163" t="s">
        <v>59</v>
      </c>
      <c r="H163">
        <v>4</v>
      </c>
      <c r="I163" t="s">
        <v>35</v>
      </c>
      <c r="J163">
        <v>1</v>
      </c>
      <c r="K163" t="s">
        <v>42</v>
      </c>
      <c r="L163">
        <v>30</v>
      </c>
      <c r="M163" t="s">
        <v>27</v>
      </c>
      <c r="N163" t="s">
        <v>28</v>
      </c>
      <c r="O163">
        <v>2</v>
      </c>
      <c r="P163" t="s">
        <v>29</v>
      </c>
      <c r="Q163">
        <v>1</v>
      </c>
      <c r="R163" t="s">
        <v>27</v>
      </c>
      <c r="S163" t="s">
        <v>30</v>
      </c>
      <c r="T163" t="s">
        <v>31</v>
      </c>
    </row>
    <row r="164" spans="1:20" x14ac:dyDescent="0.35">
      <c r="A164" t="s">
        <v>222</v>
      </c>
      <c r="B164">
        <v>15</v>
      </c>
      <c r="C164" t="s">
        <v>33</v>
      </c>
      <c r="D164" t="s">
        <v>94</v>
      </c>
      <c r="E164">
        <v>138820</v>
      </c>
      <c r="F164" s="1" t="s">
        <v>1061</v>
      </c>
      <c r="G164" t="s">
        <v>38</v>
      </c>
      <c r="H164">
        <v>4</v>
      </c>
      <c r="I164" t="s">
        <v>25</v>
      </c>
      <c r="J164">
        <v>3</v>
      </c>
      <c r="K164" t="s">
        <v>42</v>
      </c>
      <c r="L164">
        <v>36</v>
      </c>
      <c r="M164" t="s">
        <v>27</v>
      </c>
      <c r="N164" t="s">
        <v>28</v>
      </c>
      <c r="O164">
        <v>2</v>
      </c>
      <c r="P164" t="s">
        <v>29</v>
      </c>
      <c r="Q164">
        <v>1</v>
      </c>
      <c r="R164" t="s">
        <v>30</v>
      </c>
      <c r="S164" t="s">
        <v>30</v>
      </c>
      <c r="T164" t="s">
        <v>31</v>
      </c>
    </row>
    <row r="165" spans="1:20" x14ac:dyDescent="0.35">
      <c r="A165" t="s">
        <v>223</v>
      </c>
      <c r="B165">
        <v>10</v>
      </c>
      <c r="C165" t="s">
        <v>33</v>
      </c>
      <c r="D165" t="s">
        <v>46</v>
      </c>
      <c r="E165">
        <v>803880</v>
      </c>
      <c r="F165" s="2" t="s">
        <v>1060</v>
      </c>
      <c r="G165" t="s">
        <v>57</v>
      </c>
      <c r="H165">
        <v>2</v>
      </c>
      <c r="I165" t="s">
        <v>25</v>
      </c>
      <c r="J165">
        <v>4</v>
      </c>
      <c r="K165" t="s">
        <v>47</v>
      </c>
      <c r="L165">
        <v>70</v>
      </c>
      <c r="M165" t="s">
        <v>69</v>
      </c>
      <c r="N165" t="s">
        <v>43</v>
      </c>
      <c r="O165">
        <v>1</v>
      </c>
      <c r="P165" t="s">
        <v>54</v>
      </c>
      <c r="Q165">
        <v>1</v>
      </c>
      <c r="R165" t="s">
        <v>30</v>
      </c>
      <c r="S165" t="s">
        <v>30</v>
      </c>
      <c r="T165" t="s">
        <v>31</v>
      </c>
    </row>
    <row r="166" spans="1:20" x14ac:dyDescent="0.35">
      <c r="A166" t="s">
        <v>224</v>
      </c>
      <c r="B166">
        <v>36</v>
      </c>
      <c r="C166" t="s">
        <v>33</v>
      </c>
      <c r="D166" t="s">
        <v>46</v>
      </c>
      <c r="E166">
        <v>99990</v>
      </c>
      <c r="F166" s="1" t="s">
        <v>1061</v>
      </c>
      <c r="G166" t="s">
        <v>24</v>
      </c>
      <c r="H166">
        <v>4</v>
      </c>
      <c r="I166" t="s">
        <v>25</v>
      </c>
      <c r="J166">
        <v>4</v>
      </c>
      <c r="K166" t="s">
        <v>42</v>
      </c>
      <c r="L166">
        <v>36</v>
      </c>
      <c r="M166" t="s">
        <v>27</v>
      </c>
      <c r="N166" t="s">
        <v>28</v>
      </c>
      <c r="O166">
        <v>1</v>
      </c>
      <c r="P166" t="s">
        <v>29</v>
      </c>
      <c r="Q166">
        <v>1</v>
      </c>
      <c r="R166" t="s">
        <v>27</v>
      </c>
      <c r="S166" t="s">
        <v>30</v>
      </c>
      <c r="T166" t="s">
        <v>31</v>
      </c>
    </row>
    <row r="167" spans="1:20" x14ac:dyDescent="0.35">
      <c r="A167" t="s">
        <v>225</v>
      </c>
      <c r="B167">
        <v>6</v>
      </c>
      <c r="C167" t="s">
        <v>33</v>
      </c>
      <c r="D167" t="s">
        <v>41</v>
      </c>
      <c r="E167">
        <v>327580</v>
      </c>
      <c r="F167" s="2" t="s">
        <v>1061</v>
      </c>
      <c r="G167" t="s">
        <v>34</v>
      </c>
      <c r="H167">
        <v>1</v>
      </c>
      <c r="I167" t="s">
        <v>25</v>
      </c>
      <c r="J167">
        <v>2</v>
      </c>
      <c r="K167" t="s">
        <v>52</v>
      </c>
      <c r="L167">
        <v>32</v>
      </c>
      <c r="M167" t="s">
        <v>27</v>
      </c>
      <c r="N167" t="s">
        <v>28</v>
      </c>
      <c r="O167">
        <v>1</v>
      </c>
      <c r="P167" t="s">
        <v>29</v>
      </c>
      <c r="Q167">
        <v>1</v>
      </c>
      <c r="R167" t="s">
        <v>30</v>
      </c>
      <c r="S167" t="s">
        <v>30</v>
      </c>
      <c r="T167" t="s">
        <v>31</v>
      </c>
    </row>
    <row r="168" spans="1:20" x14ac:dyDescent="0.35">
      <c r="A168" t="s">
        <v>226</v>
      </c>
      <c r="B168">
        <v>18</v>
      </c>
      <c r="C168" t="s">
        <v>33</v>
      </c>
      <c r="D168" t="s">
        <v>41</v>
      </c>
      <c r="E168">
        <v>124410</v>
      </c>
      <c r="F168" s="1" t="s">
        <v>1060</v>
      </c>
      <c r="G168" t="s">
        <v>57</v>
      </c>
      <c r="H168">
        <v>4</v>
      </c>
      <c r="I168" t="s">
        <v>35</v>
      </c>
      <c r="J168">
        <v>2</v>
      </c>
      <c r="K168" t="s">
        <v>52</v>
      </c>
      <c r="L168">
        <v>33</v>
      </c>
      <c r="M168" t="s">
        <v>27</v>
      </c>
      <c r="N168" t="s">
        <v>28</v>
      </c>
      <c r="O168">
        <v>1</v>
      </c>
      <c r="P168" t="s">
        <v>29</v>
      </c>
      <c r="Q168">
        <v>1</v>
      </c>
      <c r="R168" t="s">
        <v>27</v>
      </c>
      <c r="S168" t="s">
        <v>30</v>
      </c>
      <c r="T168" t="s">
        <v>31</v>
      </c>
    </row>
    <row r="169" spans="1:20" x14ac:dyDescent="0.35">
      <c r="A169" t="s">
        <v>227</v>
      </c>
      <c r="B169">
        <v>11</v>
      </c>
      <c r="C169" t="s">
        <v>33</v>
      </c>
      <c r="D169" t="s">
        <v>41</v>
      </c>
      <c r="E169">
        <v>173470</v>
      </c>
      <c r="F169" s="2" t="s">
        <v>1062</v>
      </c>
      <c r="G169" t="s">
        <v>59</v>
      </c>
      <c r="H169">
        <v>4</v>
      </c>
      <c r="I169" t="s">
        <v>35</v>
      </c>
      <c r="J169">
        <v>1</v>
      </c>
      <c r="K169" t="s">
        <v>26</v>
      </c>
      <c r="L169">
        <v>20</v>
      </c>
      <c r="M169" t="s">
        <v>27</v>
      </c>
      <c r="N169" t="s">
        <v>28</v>
      </c>
      <c r="O169">
        <v>1</v>
      </c>
      <c r="P169" t="s">
        <v>29</v>
      </c>
      <c r="Q169">
        <v>1</v>
      </c>
      <c r="R169" t="s">
        <v>27</v>
      </c>
      <c r="S169" t="s">
        <v>30</v>
      </c>
      <c r="T169" t="s">
        <v>31</v>
      </c>
    </row>
    <row r="170" spans="1:20" x14ac:dyDescent="0.35">
      <c r="A170" t="s">
        <v>228</v>
      </c>
      <c r="B170">
        <v>24</v>
      </c>
      <c r="C170" t="s">
        <v>33</v>
      </c>
      <c r="D170" t="s">
        <v>41</v>
      </c>
      <c r="E170">
        <v>436920</v>
      </c>
      <c r="F170" s="1" t="s">
        <v>1060</v>
      </c>
      <c r="G170" t="s">
        <v>38</v>
      </c>
      <c r="H170">
        <v>2</v>
      </c>
      <c r="I170" t="s">
        <v>35</v>
      </c>
      <c r="J170">
        <v>4</v>
      </c>
      <c r="K170" t="s">
        <v>42</v>
      </c>
      <c r="L170">
        <v>25</v>
      </c>
      <c r="M170" t="s">
        <v>27</v>
      </c>
      <c r="N170" t="s">
        <v>53</v>
      </c>
      <c r="O170">
        <v>1</v>
      </c>
      <c r="P170" t="s">
        <v>29</v>
      </c>
      <c r="Q170">
        <v>1</v>
      </c>
      <c r="R170" t="s">
        <v>30</v>
      </c>
      <c r="S170" t="s">
        <v>30</v>
      </c>
      <c r="T170" t="s">
        <v>31</v>
      </c>
    </row>
    <row r="171" spans="1:20" x14ac:dyDescent="0.35">
      <c r="A171" t="s">
        <v>229</v>
      </c>
      <c r="B171">
        <v>24</v>
      </c>
      <c r="C171" t="s">
        <v>21</v>
      </c>
      <c r="D171" t="s">
        <v>61</v>
      </c>
      <c r="E171">
        <v>212850</v>
      </c>
      <c r="F171" s="2" t="s">
        <v>1060</v>
      </c>
      <c r="G171" t="s">
        <v>24</v>
      </c>
      <c r="H171">
        <v>4</v>
      </c>
      <c r="I171" t="s">
        <v>25</v>
      </c>
      <c r="J171">
        <v>4</v>
      </c>
      <c r="K171" t="s">
        <v>26</v>
      </c>
      <c r="L171">
        <v>31</v>
      </c>
      <c r="M171" t="s">
        <v>27</v>
      </c>
      <c r="N171" t="s">
        <v>28</v>
      </c>
      <c r="O171">
        <v>2</v>
      </c>
      <c r="P171" t="s">
        <v>29</v>
      </c>
      <c r="Q171">
        <v>1</v>
      </c>
      <c r="R171" t="s">
        <v>30</v>
      </c>
      <c r="S171" t="s">
        <v>30</v>
      </c>
      <c r="T171" t="s">
        <v>31</v>
      </c>
    </row>
    <row r="172" spans="1:20" x14ac:dyDescent="0.35">
      <c r="A172" t="s">
        <v>230</v>
      </c>
      <c r="B172">
        <v>15</v>
      </c>
      <c r="C172" t="s">
        <v>68</v>
      </c>
      <c r="D172" t="s">
        <v>46</v>
      </c>
      <c r="E172">
        <v>104500</v>
      </c>
      <c r="F172" s="1" t="s">
        <v>1060</v>
      </c>
      <c r="G172" t="s">
        <v>24</v>
      </c>
      <c r="H172">
        <v>4</v>
      </c>
      <c r="I172" t="s">
        <v>25</v>
      </c>
      <c r="J172">
        <v>3</v>
      </c>
      <c r="K172" t="s">
        <v>52</v>
      </c>
      <c r="L172">
        <v>33</v>
      </c>
      <c r="M172" t="s">
        <v>27</v>
      </c>
      <c r="N172" t="s">
        <v>53</v>
      </c>
      <c r="O172">
        <v>2</v>
      </c>
      <c r="P172" t="s">
        <v>29</v>
      </c>
      <c r="Q172">
        <v>2</v>
      </c>
      <c r="R172" t="s">
        <v>27</v>
      </c>
      <c r="S172" t="s">
        <v>30</v>
      </c>
      <c r="T172" t="s">
        <v>31</v>
      </c>
    </row>
    <row r="173" spans="1:20" x14ac:dyDescent="0.35">
      <c r="A173" t="s">
        <v>231</v>
      </c>
      <c r="B173">
        <v>12</v>
      </c>
      <c r="C173" t="s">
        <v>33</v>
      </c>
      <c r="D173" t="s">
        <v>41</v>
      </c>
      <c r="E173">
        <v>83930</v>
      </c>
      <c r="F173" s="2" t="s">
        <v>1060</v>
      </c>
      <c r="G173" t="s">
        <v>34</v>
      </c>
      <c r="H173">
        <v>4</v>
      </c>
      <c r="I173" t="s">
        <v>35</v>
      </c>
      <c r="J173">
        <v>1</v>
      </c>
      <c r="K173" t="s">
        <v>26</v>
      </c>
      <c r="L173">
        <v>26</v>
      </c>
      <c r="M173" t="s">
        <v>27</v>
      </c>
      <c r="N173" t="s">
        <v>28</v>
      </c>
      <c r="O173">
        <v>1</v>
      </c>
      <c r="P173" t="s">
        <v>29</v>
      </c>
      <c r="Q173">
        <v>1</v>
      </c>
      <c r="R173" t="s">
        <v>30</v>
      </c>
      <c r="S173" t="s">
        <v>30</v>
      </c>
      <c r="T173" t="s">
        <v>31</v>
      </c>
    </row>
    <row r="174" spans="1:20" x14ac:dyDescent="0.35">
      <c r="A174" t="s">
        <v>232</v>
      </c>
      <c r="B174">
        <v>24</v>
      </c>
      <c r="C174" t="s">
        <v>45</v>
      </c>
      <c r="D174" t="s">
        <v>41</v>
      </c>
      <c r="E174">
        <v>227040</v>
      </c>
      <c r="F174" s="1" t="s">
        <v>1060</v>
      </c>
      <c r="G174" t="s">
        <v>57</v>
      </c>
      <c r="H174">
        <v>3</v>
      </c>
      <c r="I174" t="s">
        <v>35</v>
      </c>
      <c r="J174">
        <v>2</v>
      </c>
      <c r="K174" t="s">
        <v>42</v>
      </c>
      <c r="L174">
        <v>34</v>
      </c>
      <c r="M174" t="s">
        <v>27</v>
      </c>
      <c r="N174" t="s">
        <v>28</v>
      </c>
      <c r="O174">
        <v>1</v>
      </c>
      <c r="P174" t="s">
        <v>54</v>
      </c>
      <c r="Q174">
        <v>1</v>
      </c>
      <c r="R174" t="s">
        <v>30</v>
      </c>
      <c r="S174" t="s">
        <v>30</v>
      </c>
      <c r="T174" t="s">
        <v>31</v>
      </c>
    </row>
    <row r="175" spans="1:20" x14ac:dyDescent="0.35">
      <c r="A175" t="s">
        <v>233</v>
      </c>
      <c r="B175">
        <v>8</v>
      </c>
      <c r="C175" t="s">
        <v>33</v>
      </c>
      <c r="D175" t="s">
        <v>22</v>
      </c>
      <c r="E175">
        <v>155540</v>
      </c>
      <c r="F175" s="2" t="s">
        <v>1060</v>
      </c>
      <c r="G175" t="s">
        <v>34</v>
      </c>
      <c r="H175">
        <v>4</v>
      </c>
      <c r="I175" t="s">
        <v>25</v>
      </c>
      <c r="J175">
        <v>2</v>
      </c>
      <c r="K175" t="s">
        <v>26</v>
      </c>
      <c r="L175">
        <v>33</v>
      </c>
      <c r="M175" t="s">
        <v>27</v>
      </c>
      <c r="N175" t="s">
        <v>28</v>
      </c>
      <c r="O175">
        <v>1</v>
      </c>
      <c r="P175" t="s">
        <v>29</v>
      </c>
      <c r="Q175">
        <v>1</v>
      </c>
      <c r="R175" t="s">
        <v>27</v>
      </c>
      <c r="S175" t="s">
        <v>75</v>
      </c>
      <c r="T175" t="s">
        <v>31</v>
      </c>
    </row>
    <row r="176" spans="1:20" x14ac:dyDescent="0.35">
      <c r="A176" t="s">
        <v>234</v>
      </c>
      <c r="B176">
        <v>21</v>
      </c>
      <c r="C176" t="s">
        <v>45</v>
      </c>
      <c r="D176" t="s">
        <v>37</v>
      </c>
      <c r="E176">
        <v>375540</v>
      </c>
      <c r="F176" s="1" t="s">
        <v>1060</v>
      </c>
      <c r="G176" t="s">
        <v>59</v>
      </c>
      <c r="H176">
        <v>2</v>
      </c>
      <c r="I176" t="s">
        <v>25</v>
      </c>
      <c r="J176">
        <v>1</v>
      </c>
      <c r="K176" t="s">
        <v>42</v>
      </c>
      <c r="L176">
        <v>26</v>
      </c>
      <c r="M176" t="s">
        <v>27</v>
      </c>
      <c r="N176" t="s">
        <v>28</v>
      </c>
      <c r="O176">
        <v>2</v>
      </c>
      <c r="P176" t="s">
        <v>29</v>
      </c>
      <c r="Q176">
        <v>1</v>
      </c>
      <c r="R176" t="s">
        <v>27</v>
      </c>
      <c r="S176" t="s">
        <v>30</v>
      </c>
      <c r="T176" t="s">
        <v>31</v>
      </c>
    </row>
    <row r="177" spans="1:20" x14ac:dyDescent="0.35">
      <c r="A177" t="s">
        <v>235</v>
      </c>
      <c r="B177">
        <v>30</v>
      </c>
      <c r="C177" t="s">
        <v>81</v>
      </c>
      <c r="D177" t="s">
        <v>51</v>
      </c>
      <c r="E177">
        <v>823350</v>
      </c>
      <c r="F177" s="2" t="s">
        <v>23</v>
      </c>
      <c r="G177" t="s">
        <v>57</v>
      </c>
      <c r="H177">
        <v>4</v>
      </c>
      <c r="I177" t="s">
        <v>35</v>
      </c>
      <c r="J177">
        <v>1</v>
      </c>
      <c r="K177" t="s">
        <v>26</v>
      </c>
      <c r="L177">
        <v>53</v>
      </c>
      <c r="M177" t="s">
        <v>69</v>
      </c>
      <c r="N177" t="s">
        <v>28</v>
      </c>
      <c r="O177">
        <v>1</v>
      </c>
      <c r="P177" t="s">
        <v>54</v>
      </c>
      <c r="Q177">
        <v>1</v>
      </c>
      <c r="R177" t="s">
        <v>30</v>
      </c>
      <c r="S177" t="s">
        <v>30</v>
      </c>
      <c r="T177" t="s">
        <v>31</v>
      </c>
    </row>
    <row r="178" spans="1:20" x14ac:dyDescent="0.35">
      <c r="A178" t="s">
        <v>236</v>
      </c>
      <c r="B178">
        <v>12</v>
      </c>
      <c r="C178" t="s">
        <v>33</v>
      </c>
      <c r="D178" t="s">
        <v>41</v>
      </c>
      <c r="E178">
        <v>283470</v>
      </c>
      <c r="F178" s="1" t="s">
        <v>1060</v>
      </c>
      <c r="G178" t="s">
        <v>34</v>
      </c>
      <c r="H178">
        <v>2</v>
      </c>
      <c r="I178" t="s">
        <v>25</v>
      </c>
      <c r="J178">
        <v>1</v>
      </c>
      <c r="K178" t="s">
        <v>52</v>
      </c>
      <c r="L178">
        <v>42</v>
      </c>
      <c r="M178" t="s">
        <v>27</v>
      </c>
      <c r="N178" t="s">
        <v>28</v>
      </c>
      <c r="O178">
        <v>1</v>
      </c>
      <c r="P178" t="s">
        <v>29</v>
      </c>
      <c r="Q178">
        <v>1</v>
      </c>
      <c r="R178" t="s">
        <v>27</v>
      </c>
      <c r="S178" t="s">
        <v>30</v>
      </c>
      <c r="T178" t="s">
        <v>31</v>
      </c>
    </row>
    <row r="179" spans="1:20" x14ac:dyDescent="0.35">
      <c r="A179" t="s">
        <v>237</v>
      </c>
      <c r="B179">
        <v>6</v>
      </c>
      <c r="C179" t="s">
        <v>21</v>
      </c>
      <c r="D179" t="s">
        <v>22</v>
      </c>
      <c r="E179">
        <v>37180</v>
      </c>
      <c r="F179" s="2" t="s">
        <v>1061</v>
      </c>
      <c r="G179" t="s">
        <v>24</v>
      </c>
      <c r="H179">
        <v>4</v>
      </c>
      <c r="I179" t="s">
        <v>25</v>
      </c>
      <c r="J179">
        <v>4</v>
      </c>
      <c r="K179" t="s">
        <v>52</v>
      </c>
      <c r="L179">
        <v>52</v>
      </c>
      <c r="M179" t="s">
        <v>27</v>
      </c>
      <c r="N179" t="s">
        <v>28</v>
      </c>
      <c r="O179">
        <v>2</v>
      </c>
      <c r="P179" t="s">
        <v>29</v>
      </c>
      <c r="Q179">
        <v>1</v>
      </c>
      <c r="R179" t="s">
        <v>27</v>
      </c>
      <c r="S179" t="s">
        <v>30</v>
      </c>
      <c r="T179" t="s">
        <v>31</v>
      </c>
    </row>
    <row r="180" spans="1:20" x14ac:dyDescent="0.35">
      <c r="A180" t="s">
        <v>238</v>
      </c>
      <c r="B180">
        <v>12</v>
      </c>
      <c r="C180" t="s">
        <v>33</v>
      </c>
      <c r="D180" t="s">
        <v>22</v>
      </c>
      <c r="E180">
        <v>215930</v>
      </c>
      <c r="F180" s="1" t="s">
        <v>1060</v>
      </c>
      <c r="G180" t="s">
        <v>38</v>
      </c>
      <c r="H180">
        <v>4</v>
      </c>
      <c r="I180" t="s">
        <v>25</v>
      </c>
      <c r="J180">
        <v>2</v>
      </c>
      <c r="K180" t="s">
        <v>52</v>
      </c>
      <c r="L180">
        <v>31</v>
      </c>
      <c r="M180" t="s">
        <v>27</v>
      </c>
      <c r="N180" t="s">
        <v>53</v>
      </c>
      <c r="O180">
        <v>2</v>
      </c>
      <c r="P180" t="s">
        <v>54</v>
      </c>
      <c r="Q180">
        <v>2</v>
      </c>
      <c r="R180" t="s">
        <v>30</v>
      </c>
      <c r="S180" t="s">
        <v>30</v>
      </c>
      <c r="T180" t="s">
        <v>31</v>
      </c>
    </row>
    <row r="181" spans="1:20" x14ac:dyDescent="0.35">
      <c r="A181" t="s">
        <v>239</v>
      </c>
      <c r="B181">
        <v>21</v>
      </c>
      <c r="C181" t="s">
        <v>21</v>
      </c>
      <c r="D181" t="s">
        <v>46</v>
      </c>
      <c r="E181">
        <v>62810</v>
      </c>
      <c r="F181" s="2" t="s">
        <v>1060</v>
      </c>
      <c r="G181" t="s">
        <v>24</v>
      </c>
      <c r="H181">
        <v>4</v>
      </c>
      <c r="I181" t="s">
        <v>25</v>
      </c>
      <c r="J181">
        <v>4</v>
      </c>
      <c r="K181" t="s">
        <v>26</v>
      </c>
      <c r="L181">
        <v>65</v>
      </c>
      <c r="M181" t="s">
        <v>27</v>
      </c>
      <c r="N181" t="s">
        <v>28</v>
      </c>
      <c r="O181">
        <v>2</v>
      </c>
      <c r="P181" t="s">
        <v>29</v>
      </c>
      <c r="Q181">
        <v>1</v>
      </c>
      <c r="R181" t="s">
        <v>27</v>
      </c>
      <c r="S181" t="s">
        <v>30</v>
      </c>
      <c r="T181" t="s">
        <v>31</v>
      </c>
    </row>
    <row r="182" spans="1:20" x14ac:dyDescent="0.35">
      <c r="A182" t="s">
        <v>240</v>
      </c>
      <c r="B182">
        <v>36</v>
      </c>
      <c r="C182" t="s">
        <v>45</v>
      </c>
      <c r="D182" t="s">
        <v>61</v>
      </c>
      <c r="E182">
        <v>1052920</v>
      </c>
      <c r="F182" s="1" t="s">
        <v>1060</v>
      </c>
      <c r="G182" t="s">
        <v>59</v>
      </c>
      <c r="H182">
        <v>1</v>
      </c>
      <c r="I182" t="s">
        <v>25</v>
      </c>
      <c r="J182">
        <v>1</v>
      </c>
      <c r="K182" t="s">
        <v>52</v>
      </c>
      <c r="L182">
        <v>28</v>
      </c>
      <c r="M182" t="s">
        <v>27</v>
      </c>
      <c r="N182" t="s">
        <v>28</v>
      </c>
      <c r="O182">
        <v>2</v>
      </c>
      <c r="P182" t="s">
        <v>29</v>
      </c>
      <c r="Q182">
        <v>1</v>
      </c>
      <c r="R182" t="s">
        <v>27</v>
      </c>
      <c r="S182" t="s">
        <v>30</v>
      </c>
      <c r="T182" t="s">
        <v>31</v>
      </c>
    </row>
    <row r="183" spans="1:20" x14ac:dyDescent="0.35">
      <c r="A183" t="s">
        <v>241</v>
      </c>
      <c r="B183">
        <v>36</v>
      </c>
      <c r="C183" t="s">
        <v>45</v>
      </c>
      <c r="D183" t="s">
        <v>61</v>
      </c>
      <c r="E183">
        <v>490050</v>
      </c>
      <c r="F183" s="2" t="s">
        <v>1060</v>
      </c>
      <c r="G183" t="s">
        <v>34</v>
      </c>
      <c r="H183">
        <v>2</v>
      </c>
      <c r="I183" t="s">
        <v>25</v>
      </c>
      <c r="J183">
        <v>2</v>
      </c>
      <c r="K183" t="s">
        <v>26</v>
      </c>
      <c r="L183">
        <v>30</v>
      </c>
      <c r="M183" t="s">
        <v>86</v>
      </c>
      <c r="N183" t="s">
        <v>28</v>
      </c>
      <c r="O183">
        <v>2</v>
      </c>
      <c r="P183" t="s">
        <v>54</v>
      </c>
      <c r="Q183">
        <v>1</v>
      </c>
      <c r="R183" t="s">
        <v>30</v>
      </c>
      <c r="S183" t="s">
        <v>30</v>
      </c>
      <c r="T183" t="s">
        <v>31</v>
      </c>
    </row>
    <row r="184" spans="1:20" x14ac:dyDescent="0.35">
      <c r="A184" t="s">
        <v>242</v>
      </c>
      <c r="B184">
        <v>21</v>
      </c>
      <c r="C184" t="s">
        <v>81</v>
      </c>
      <c r="D184" t="s">
        <v>46</v>
      </c>
      <c r="E184">
        <v>181170</v>
      </c>
      <c r="F184" s="1" t="s">
        <v>23</v>
      </c>
      <c r="G184" t="s">
        <v>34</v>
      </c>
      <c r="H184">
        <v>4</v>
      </c>
      <c r="I184" t="s">
        <v>25</v>
      </c>
      <c r="J184">
        <v>2</v>
      </c>
      <c r="K184" t="s">
        <v>42</v>
      </c>
      <c r="L184">
        <v>40</v>
      </c>
      <c r="M184" t="s">
        <v>27</v>
      </c>
      <c r="N184" t="s">
        <v>28</v>
      </c>
      <c r="O184">
        <v>2</v>
      </c>
      <c r="P184" t="s">
        <v>39</v>
      </c>
      <c r="Q184">
        <v>2</v>
      </c>
      <c r="R184" t="s">
        <v>27</v>
      </c>
      <c r="S184" t="s">
        <v>30</v>
      </c>
      <c r="T184" t="s">
        <v>31</v>
      </c>
    </row>
    <row r="185" spans="1:20" x14ac:dyDescent="0.35">
      <c r="A185" t="s">
        <v>243</v>
      </c>
      <c r="B185">
        <v>24</v>
      </c>
      <c r="C185" t="s">
        <v>21</v>
      </c>
      <c r="D185" t="s">
        <v>41</v>
      </c>
      <c r="E185">
        <v>415470</v>
      </c>
      <c r="F185" s="2" t="s">
        <v>1062</v>
      </c>
      <c r="G185" t="s">
        <v>34</v>
      </c>
      <c r="H185">
        <v>4</v>
      </c>
      <c r="I185" t="s">
        <v>25</v>
      </c>
      <c r="J185">
        <v>4</v>
      </c>
      <c r="K185" t="s">
        <v>26</v>
      </c>
      <c r="L185">
        <v>50</v>
      </c>
      <c r="M185" t="s">
        <v>27</v>
      </c>
      <c r="N185" t="s">
        <v>28</v>
      </c>
      <c r="O185">
        <v>1</v>
      </c>
      <c r="P185" t="s">
        <v>29</v>
      </c>
      <c r="Q185">
        <v>1</v>
      </c>
      <c r="R185" t="s">
        <v>30</v>
      </c>
      <c r="S185" t="s">
        <v>30</v>
      </c>
      <c r="T185" t="s">
        <v>31</v>
      </c>
    </row>
    <row r="186" spans="1:20" x14ac:dyDescent="0.35">
      <c r="A186" t="s">
        <v>244</v>
      </c>
      <c r="B186">
        <v>18</v>
      </c>
      <c r="C186" t="s">
        <v>21</v>
      </c>
      <c r="D186" t="s">
        <v>46</v>
      </c>
      <c r="E186">
        <v>97240</v>
      </c>
      <c r="F186" s="1" t="s">
        <v>1060</v>
      </c>
      <c r="G186" t="s">
        <v>24</v>
      </c>
      <c r="H186">
        <v>4</v>
      </c>
      <c r="I186" t="s">
        <v>25</v>
      </c>
      <c r="J186">
        <v>4</v>
      </c>
      <c r="K186" t="s">
        <v>52</v>
      </c>
      <c r="L186">
        <v>36</v>
      </c>
      <c r="M186" t="s">
        <v>69</v>
      </c>
      <c r="N186" t="s">
        <v>28</v>
      </c>
      <c r="O186">
        <v>1</v>
      </c>
      <c r="P186" t="s">
        <v>29</v>
      </c>
      <c r="Q186">
        <v>2</v>
      </c>
      <c r="R186" t="s">
        <v>30</v>
      </c>
      <c r="S186" t="s">
        <v>30</v>
      </c>
      <c r="T186" t="s">
        <v>31</v>
      </c>
    </row>
    <row r="187" spans="1:20" x14ac:dyDescent="0.35">
      <c r="A187" t="s">
        <v>245</v>
      </c>
      <c r="B187">
        <v>15</v>
      </c>
      <c r="C187" t="s">
        <v>21</v>
      </c>
      <c r="D187" t="s">
        <v>22</v>
      </c>
      <c r="E187">
        <v>149600</v>
      </c>
      <c r="F187" s="2" t="s">
        <v>1060</v>
      </c>
      <c r="G187" t="s">
        <v>34</v>
      </c>
      <c r="H187">
        <v>4</v>
      </c>
      <c r="I187" t="s">
        <v>25</v>
      </c>
      <c r="J187">
        <v>2</v>
      </c>
      <c r="K187" t="s">
        <v>42</v>
      </c>
      <c r="L187">
        <v>31</v>
      </c>
      <c r="M187" t="s">
        <v>27</v>
      </c>
      <c r="N187" t="s">
        <v>28</v>
      </c>
      <c r="O187">
        <v>2</v>
      </c>
      <c r="P187" t="s">
        <v>29</v>
      </c>
      <c r="Q187">
        <v>1</v>
      </c>
      <c r="R187" t="s">
        <v>27</v>
      </c>
      <c r="S187" t="s">
        <v>30</v>
      </c>
      <c r="T187" t="s">
        <v>31</v>
      </c>
    </row>
    <row r="188" spans="1:20" x14ac:dyDescent="0.35">
      <c r="A188" t="s">
        <v>246</v>
      </c>
      <c r="B188">
        <v>9</v>
      </c>
      <c r="C188" t="s">
        <v>81</v>
      </c>
      <c r="D188" t="s">
        <v>51</v>
      </c>
      <c r="E188">
        <v>564190</v>
      </c>
      <c r="F188" s="1" t="s">
        <v>1060</v>
      </c>
      <c r="G188" t="s">
        <v>24</v>
      </c>
      <c r="H188">
        <v>2</v>
      </c>
      <c r="I188" t="s">
        <v>35</v>
      </c>
      <c r="J188">
        <v>4</v>
      </c>
      <c r="K188" t="s">
        <v>47</v>
      </c>
      <c r="L188">
        <v>74</v>
      </c>
      <c r="M188" t="s">
        <v>69</v>
      </c>
      <c r="N188" t="s">
        <v>43</v>
      </c>
      <c r="O188">
        <v>1</v>
      </c>
      <c r="P188" t="s">
        <v>54</v>
      </c>
      <c r="Q188">
        <v>2</v>
      </c>
      <c r="R188" t="s">
        <v>30</v>
      </c>
      <c r="S188" t="s">
        <v>30</v>
      </c>
      <c r="T188" t="s">
        <v>31</v>
      </c>
    </row>
    <row r="189" spans="1:20" x14ac:dyDescent="0.35">
      <c r="A189" t="s">
        <v>247</v>
      </c>
      <c r="B189">
        <v>16</v>
      </c>
      <c r="C189" t="s">
        <v>21</v>
      </c>
      <c r="D189" t="s">
        <v>46</v>
      </c>
      <c r="E189">
        <v>129250</v>
      </c>
      <c r="F189" s="2" t="s">
        <v>1060</v>
      </c>
      <c r="G189" t="s">
        <v>57</v>
      </c>
      <c r="H189">
        <v>2</v>
      </c>
      <c r="I189" t="s">
        <v>25</v>
      </c>
      <c r="J189">
        <v>3</v>
      </c>
      <c r="K189" t="s">
        <v>52</v>
      </c>
      <c r="L189">
        <v>68</v>
      </c>
      <c r="M189" t="s">
        <v>27</v>
      </c>
      <c r="N189" t="s">
        <v>43</v>
      </c>
      <c r="O189">
        <v>3</v>
      </c>
      <c r="P189" t="s">
        <v>105</v>
      </c>
      <c r="Q189">
        <v>1</v>
      </c>
      <c r="R189" t="s">
        <v>30</v>
      </c>
      <c r="S189" t="s">
        <v>30</v>
      </c>
      <c r="T189" t="s">
        <v>31</v>
      </c>
    </row>
    <row r="190" spans="1:20" x14ac:dyDescent="0.35">
      <c r="A190" t="s">
        <v>248</v>
      </c>
      <c r="B190">
        <v>12</v>
      </c>
      <c r="C190" t="s">
        <v>33</v>
      </c>
      <c r="D190" t="s">
        <v>22</v>
      </c>
      <c r="E190">
        <v>74140</v>
      </c>
      <c r="F190" s="1" t="s">
        <v>1063</v>
      </c>
      <c r="G190" t="s">
        <v>38</v>
      </c>
      <c r="H190">
        <v>4</v>
      </c>
      <c r="I190" t="s">
        <v>25</v>
      </c>
      <c r="J190">
        <v>1</v>
      </c>
      <c r="K190" t="s">
        <v>42</v>
      </c>
      <c r="L190">
        <v>20</v>
      </c>
      <c r="M190" t="s">
        <v>27</v>
      </c>
      <c r="N190" t="s">
        <v>28</v>
      </c>
      <c r="O190">
        <v>1</v>
      </c>
      <c r="P190" t="s">
        <v>29</v>
      </c>
      <c r="Q190">
        <v>1</v>
      </c>
      <c r="R190" t="s">
        <v>27</v>
      </c>
      <c r="S190" t="s">
        <v>30</v>
      </c>
      <c r="T190" t="s">
        <v>31</v>
      </c>
    </row>
    <row r="191" spans="1:20" x14ac:dyDescent="0.35">
      <c r="A191" t="s">
        <v>249</v>
      </c>
      <c r="B191">
        <v>18</v>
      </c>
      <c r="C191" t="s">
        <v>68</v>
      </c>
      <c r="D191" t="s">
        <v>41</v>
      </c>
      <c r="E191">
        <v>356840</v>
      </c>
      <c r="F191" s="2" t="s">
        <v>1060</v>
      </c>
      <c r="G191" t="s">
        <v>34</v>
      </c>
      <c r="H191">
        <v>1</v>
      </c>
      <c r="I191" t="s">
        <v>35</v>
      </c>
      <c r="J191">
        <v>4</v>
      </c>
      <c r="K191" t="s">
        <v>52</v>
      </c>
      <c r="L191">
        <v>33</v>
      </c>
      <c r="M191" t="s">
        <v>69</v>
      </c>
      <c r="N191" t="s">
        <v>28</v>
      </c>
      <c r="O191">
        <v>2</v>
      </c>
      <c r="P191" t="s">
        <v>29</v>
      </c>
      <c r="Q191">
        <v>1</v>
      </c>
      <c r="R191" t="s">
        <v>30</v>
      </c>
      <c r="S191" t="s">
        <v>30</v>
      </c>
      <c r="T191" t="s">
        <v>31</v>
      </c>
    </row>
    <row r="192" spans="1:20" x14ac:dyDescent="0.35">
      <c r="A192" t="s">
        <v>250</v>
      </c>
      <c r="B192">
        <v>24</v>
      </c>
      <c r="C192" t="s">
        <v>33</v>
      </c>
      <c r="D192" t="s">
        <v>61</v>
      </c>
      <c r="E192">
        <v>505010</v>
      </c>
      <c r="F192" s="1" t="s">
        <v>1062</v>
      </c>
      <c r="G192" t="s">
        <v>34</v>
      </c>
      <c r="H192">
        <v>2</v>
      </c>
      <c r="I192" t="s">
        <v>25</v>
      </c>
      <c r="J192">
        <v>3</v>
      </c>
      <c r="K192" t="s">
        <v>42</v>
      </c>
      <c r="L192">
        <v>54</v>
      </c>
      <c r="M192" t="s">
        <v>27</v>
      </c>
      <c r="N192" t="s">
        <v>28</v>
      </c>
      <c r="O192">
        <v>3</v>
      </c>
      <c r="P192" t="s">
        <v>54</v>
      </c>
      <c r="Q192">
        <v>1</v>
      </c>
      <c r="R192" t="s">
        <v>30</v>
      </c>
      <c r="S192" t="s">
        <v>30</v>
      </c>
      <c r="T192" t="s">
        <v>31</v>
      </c>
    </row>
    <row r="193" spans="1:20" x14ac:dyDescent="0.35">
      <c r="A193" t="s">
        <v>251</v>
      </c>
      <c r="B193">
        <v>48</v>
      </c>
      <c r="C193" t="s">
        <v>68</v>
      </c>
      <c r="D193" t="s">
        <v>61</v>
      </c>
      <c r="E193">
        <v>422840</v>
      </c>
      <c r="F193" s="2" t="s">
        <v>1063</v>
      </c>
      <c r="G193" t="s">
        <v>38</v>
      </c>
      <c r="H193">
        <v>4</v>
      </c>
      <c r="I193" t="s">
        <v>25</v>
      </c>
      <c r="J193">
        <v>4</v>
      </c>
      <c r="K193" t="s">
        <v>47</v>
      </c>
      <c r="L193">
        <v>34</v>
      </c>
      <c r="M193" t="s">
        <v>27</v>
      </c>
      <c r="N193" t="s">
        <v>43</v>
      </c>
      <c r="O193">
        <v>1</v>
      </c>
      <c r="P193" t="s">
        <v>39</v>
      </c>
      <c r="Q193">
        <v>2</v>
      </c>
      <c r="R193" t="s">
        <v>27</v>
      </c>
      <c r="S193" t="s">
        <v>30</v>
      </c>
      <c r="T193" t="s">
        <v>31</v>
      </c>
    </row>
    <row r="194" spans="1:20" x14ac:dyDescent="0.35">
      <c r="A194" t="s">
        <v>252</v>
      </c>
      <c r="B194">
        <v>27</v>
      </c>
      <c r="C194" t="s">
        <v>33</v>
      </c>
      <c r="D194" t="s">
        <v>61</v>
      </c>
      <c r="E194">
        <v>430650</v>
      </c>
      <c r="F194" s="1" t="s">
        <v>1060</v>
      </c>
      <c r="G194" t="s">
        <v>34</v>
      </c>
      <c r="H194">
        <v>4</v>
      </c>
      <c r="I194" t="s">
        <v>25</v>
      </c>
      <c r="J194">
        <v>2</v>
      </c>
      <c r="K194" t="s">
        <v>52</v>
      </c>
      <c r="L194">
        <v>36</v>
      </c>
      <c r="M194" t="s">
        <v>27</v>
      </c>
      <c r="N194" t="s">
        <v>28</v>
      </c>
      <c r="O194">
        <v>1</v>
      </c>
      <c r="P194" t="s">
        <v>29</v>
      </c>
      <c r="Q194">
        <v>2</v>
      </c>
      <c r="R194" t="s">
        <v>30</v>
      </c>
      <c r="S194" t="s">
        <v>30</v>
      </c>
      <c r="T194" t="s">
        <v>31</v>
      </c>
    </row>
    <row r="195" spans="1:20" x14ac:dyDescent="0.35">
      <c r="A195" t="s">
        <v>253</v>
      </c>
      <c r="B195">
        <v>6</v>
      </c>
      <c r="C195" t="s">
        <v>33</v>
      </c>
      <c r="D195" t="s">
        <v>22</v>
      </c>
      <c r="E195">
        <v>231880</v>
      </c>
      <c r="F195" s="2" t="s">
        <v>1060</v>
      </c>
      <c r="G195" t="s">
        <v>38</v>
      </c>
      <c r="H195">
        <v>2</v>
      </c>
      <c r="I195" t="s">
        <v>25</v>
      </c>
      <c r="J195">
        <v>2</v>
      </c>
      <c r="K195" t="s">
        <v>26</v>
      </c>
      <c r="L195">
        <v>29</v>
      </c>
      <c r="M195" t="s">
        <v>27</v>
      </c>
      <c r="N195" t="s">
        <v>53</v>
      </c>
      <c r="O195">
        <v>1</v>
      </c>
      <c r="P195" t="s">
        <v>29</v>
      </c>
      <c r="Q195">
        <v>1</v>
      </c>
      <c r="R195" t="s">
        <v>27</v>
      </c>
      <c r="S195" t="s">
        <v>30</v>
      </c>
      <c r="T195" t="s">
        <v>31</v>
      </c>
    </row>
    <row r="196" spans="1:20" x14ac:dyDescent="0.35">
      <c r="A196" t="s">
        <v>254</v>
      </c>
      <c r="B196">
        <v>45</v>
      </c>
      <c r="C196" t="s">
        <v>33</v>
      </c>
      <c r="D196" t="s">
        <v>22</v>
      </c>
      <c r="E196">
        <v>333410</v>
      </c>
      <c r="F196" s="1" t="s">
        <v>1063</v>
      </c>
      <c r="G196" t="s">
        <v>34</v>
      </c>
      <c r="H196">
        <v>4</v>
      </c>
      <c r="I196" t="s">
        <v>25</v>
      </c>
      <c r="J196">
        <v>4</v>
      </c>
      <c r="K196" t="s">
        <v>42</v>
      </c>
      <c r="L196">
        <v>21</v>
      </c>
      <c r="M196" t="s">
        <v>27</v>
      </c>
      <c r="N196" t="s">
        <v>53</v>
      </c>
      <c r="O196">
        <v>1</v>
      </c>
      <c r="P196" t="s">
        <v>29</v>
      </c>
      <c r="Q196">
        <v>1</v>
      </c>
      <c r="R196" t="s">
        <v>27</v>
      </c>
      <c r="S196" t="s">
        <v>30</v>
      </c>
      <c r="T196" t="s">
        <v>31</v>
      </c>
    </row>
    <row r="197" spans="1:20" x14ac:dyDescent="0.35">
      <c r="A197" t="s">
        <v>255</v>
      </c>
      <c r="B197">
        <v>9</v>
      </c>
      <c r="C197" t="s">
        <v>21</v>
      </c>
      <c r="D197" t="s">
        <v>37</v>
      </c>
      <c r="E197">
        <v>165110</v>
      </c>
      <c r="F197" s="2" t="s">
        <v>1060</v>
      </c>
      <c r="G197" t="s">
        <v>24</v>
      </c>
      <c r="H197">
        <v>2</v>
      </c>
      <c r="I197" t="s">
        <v>35</v>
      </c>
      <c r="J197">
        <v>3</v>
      </c>
      <c r="K197" t="s">
        <v>52</v>
      </c>
      <c r="L197">
        <v>34</v>
      </c>
      <c r="M197" t="s">
        <v>27</v>
      </c>
      <c r="N197" t="s">
        <v>28</v>
      </c>
      <c r="O197">
        <v>2</v>
      </c>
      <c r="P197" t="s">
        <v>54</v>
      </c>
      <c r="Q197">
        <v>1</v>
      </c>
      <c r="R197" t="s">
        <v>30</v>
      </c>
      <c r="S197" t="s">
        <v>30</v>
      </c>
      <c r="T197" t="s">
        <v>31</v>
      </c>
    </row>
    <row r="198" spans="1:20" x14ac:dyDescent="0.35">
      <c r="A198" t="s">
        <v>256</v>
      </c>
      <c r="B198">
        <v>6</v>
      </c>
      <c r="C198" t="s">
        <v>21</v>
      </c>
      <c r="D198" t="s">
        <v>22</v>
      </c>
      <c r="E198">
        <v>152020</v>
      </c>
      <c r="F198" s="1" t="s">
        <v>1060</v>
      </c>
      <c r="G198" t="s">
        <v>34</v>
      </c>
      <c r="H198">
        <v>1</v>
      </c>
      <c r="I198" t="s">
        <v>35</v>
      </c>
      <c r="J198">
        <v>1</v>
      </c>
      <c r="K198" t="s">
        <v>52</v>
      </c>
      <c r="L198">
        <v>28</v>
      </c>
      <c r="M198" t="s">
        <v>27</v>
      </c>
      <c r="N198" t="s">
        <v>28</v>
      </c>
      <c r="O198">
        <v>2</v>
      </c>
      <c r="P198" t="s">
        <v>29</v>
      </c>
      <c r="Q198">
        <v>1</v>
      </c>
      <c r="R198" t="s">
        <v>30</v>
      </c>
      <c r="S198" t="s">
        <v>30</v>
      </c>
      <c r="T198" t="s">
        <v>31</v>
      </c>
    </row>
    <row r="199" spans="1:20" x14ac:dyDescent="0.35">
      <c r="A199" t="s">
        <v>257</v>
      </c>
      <c r="B199">
        <v>12</v>
      </c>
      <c r="C199" t="s">
        <v>33</v>
      </c>
      <c r="D199" t="s">
        <v>41</v>
      </c>
      <c r="E199">
        <v>104610</v>
      </c>
      <c r="F199" s="2" t="s">
        <v>1063</v>
      </c>
      <c r="G199" t="s">
        <v>59</v>
      </c>
      <c r="H199">
        <v>4</v>
      </c>
      <c r="I199" t="s">
        <v>35</v>
      </c>
      <c r="J199">
        <v>4</v>
      </c>
      <c r="K199" t="s">
        <v>52</v>
      </c>
      <c r="L199">
        <v>27</v>
      </c>
      <c r="M199" t="s">
        <v>69</v>
      </c>
      <c r="N199" t="s">
        <v>53</v>
      </c>
      <c r="O199">
        <v>4</v>
      </c>
      <c r="P199" t="s">
        <v>29</v>
      </c>
      <c r="Q199">
        <v>1</v>
      </c>
      <c r="R199" t="s">
        <v>27</v>
      </c>
      <c r="S199" t="s">
        <v>30</v>
      </c>
      <c r="T199" t="s">
        <v>31</v>
      </c>
    </row>
    <row r="200" spans="1:20" x14ac:dyDescent="0.35">
      <c r="A200" t="s">
        <v>258</v>
      </c>
      <c r="B200">
        <v>24</v>
      </c>
      <c r="C200" t="s">
        <v>33</v>
      </c>
      <c r="D200" t="s">
        <v>51</v>
      </c>
      <c r="E200">
        <v>303600</v>
      </c>
      <c r="F200" s="1" t="s">
        <v>23</v>
      </c>
      <c r="G200" t="s">
        <v>24</v>
      </c>
      <c r="H200">
        <v>4</v>
      </c>
      <c r="I200" t="s">
        <v>25</v>
      </c>
      <c r="J200">
        <v>4</v>
      </c>
      <c r="K200" t="s">
        <v>47</v>
      </c>
      <c r="L200">
        <v>36</v>
      </c>
      <c r="M200" t="s">
        <v>69</v>
      </c>
      <c r="N200" t="s">
        <v>43</v>
      </c>
      <c r="O200">
        <v>1</v>
      </c>
      <c r="P200" t="s">
        <v>29</v>
      </c>
      <c r="Q200">
        <v>1</v>
      </c>
      <c r="R200" t="s">
        <v>30</v>
      </c>
      <c r="S200" t="s">
        <v>30</v>
      </c>
      <c r="T200" t="s">
        <v>31</v>
      </c>
    </row>
    <row r="201" spans="1:20" x14ac:dyDescent="0.35">
      <c r="A201" t="s">
        <v>259</v>
      </c>
      <c r="B201">
        <v>18</v>
      </c>
      <c r="C201" t="s">
        <v>45</v>
      </c>
      <c r="D201" t="s">
        <v>41</v>
      </c>
      <c r="E201">
        <v>472670</v>
      </c>
      <c r="F201" s="2" t="s">
        <v>1060</v>
      </c>
      <c r="G201" t="s">
        <v>24</v>
      </c>
      <c r="H201">
        <v>4</v>
      </c>
      <c r="I201" t="s">
        <v>25</v>
      </c>
      <c r="J201">
        <v>3</v>
      </c>
      <c r="K201" t="s">
        <v>47</v>
      </c>
      <c r="L201">
        <v>40</v>
      </c>
      <c r="M201" t="s">
        <v>27</v>
      </c>
      <c r="N201" t="s">
        <v>28</v>
      </c>
      <c r="O201">
        <v>1</v>
      </c>
      <c r="P201" t="s">
        <v>54</v>
      </c>
      <c r="Q201">
        <v>1</v>
      </c>
      <c r="R201" t="s">
        <v>30</v>
      </c>
      <c r="S201" t="s">
        <v>30</v>
      </c>
      <c r="T201" t="s">
        <v>31</v>
      </c>
    </row>
    <row r="202" spans="1:20" x14ac:dyDescent="0.35">
      <c r="A202" t="s">
        <v>260</v>
      </c>
      <c r="B202">
        <v>9</v>
      </c>
      <c r="C202" t="s">
        <v>21</v>
      </c>
      <c r="D202" t="s">
        <v>37</v>
      </c>
      <c r="E202">
        <v>102960</v>
      </c>
      <c r="F202" s="1" t="s">
        <v>1061</v>
      </c>
      <c r="G202" t="s">
        <v>24</v>
      </c>
      <c r="H202">
        <v>4</v>
      </c>
      <c r="I202" t="s">
        <v>25</v>
      </c>
      <c r="J202">
        <v>2</v>
      </c>
      <c r="K202" t="s">
        <v>52</v>
      </c>
      <c r="L202">
        <v>52</v>
      </c>
      <c r="M202" t="s">
        <v>27</v>
      </c>
      <c r="N202" t="s">
        <v>28</v>
      </c>
      <c r="O202">
        <v>2</v>
      </c>
      <c r="P202" t="s">
        <v>29</v>
      </c>
      <c r="Q202">
        <v>1</v>
      </c>
      <c r="R202" t="s">
        <v>30</v>
      </c>
      <c r="S202" t="s">
        <v>30</v>
      </c>
      <c r="T202" t="s">
        <v>31</v>
      </c>
    </row>
    <row r="203" spans="1:20" x14ac:dyDescent="0.35">
      <c r="A203" t="s">
        <v>261</v>
      </c>
      <c r="B203">
        <v>12</v>
      </c>
      <c r="C203" t="s">
        <v>33</v>
      </c>
      <c r="D203" t="s">
        <v>46</v>
      </c>
      <c r="E203">
        <v>128480</v>
      </c>
      <c r="F203" s="2" t="s">
        <v>1060</v>
      </c>
      <c r="G203" t="s">
        <v>34</v>
      </c>
      <c r="H203">
        <v>4</v>
      </c>
      <c r="I203" t="s">
        <v>25</v>
      </c>
      <c r="J203">
        <v>3</v>
      </c>
      <c r="K203" t="s">
        <v>26</v>
      </c>
      <c r="L203">
        <v>27</v>
      </c>
      <c r="M203" t="s">
        <v>27</v>
      </c>
      <c r="N203" t="s">
        <v>28</v>
      </c>
      <c r="O203">
        <v>1</v>
      </c>
      <c r="P203" t="s">
        <v>39</v>
      </c>
      <c r="Q203">
        <v>1</v>
      </c>
      <c r="R203" t="s">
        <v>27</v>
      </c>
      <c r="S203" t="s">
        <v>30</v>
      </c>
      <c r="T203" t="s">
        <v>31</v>
      </c>
    </row>
    <row r="204" spans="1:20" x14ac:dyDescent="0.35">
      <c r="A204" t="s">
        <v>262</v>
      </c>
      <c r="B204">
        <v>27</v>
      </c>
      <c r="C204" t="s">
        <v>45</v>
      </c>
      <c r="D204" t="s">
        <v>61</v>
      </c>
      <c r="E204">
        <v>562870</v>
      </c>
      <c r="F204" s="1" t="s">
        <v>1060</v>
      </c>
      <c r="G204" t="s">
        <v>38</v>
      </c>
      <c r="H204">
        <v>3</v>
      </c>
      <c r="I204" t="s">
        <v>25</v>
      </c>
      <c r="J204">
        <v>4</v>
      </c>
      <c r="K204" t="s">
        <v>52</v>
      </c>
      <c r="L204">
        <v>26</v>
      </c>
      <c r="M204" t="s">
        <v>27</v>
      </c>
      <c r="N204" t="s">
        <v>28</v>
      </c>
      <c r="O204">
        <v>2</v>
      </c>
      <c r="P204" t="s">
        <v>29</v>
      </c>
      <c r="Q204">
        <v>1</v>
      </c>
      <c r="R204" t="s">
        <v>27</v>
      </c>
      <c r="S204" t="s">
        <v>30</v>
      </c>
      <c r="T204" t="s">
        <v>31</v>
      </c>
    </row>
    <row r="205" spans="1:20" x14ac:dyDescent="0.35">
      <c r="A205" t="s">
        <v>263</v>
      </c>
      <c r="B205">
        <v>12</v>
      </c>
      <c r="C205" t="s">
        <v>33</v>
      </c>
      <c r="D205" t="s">
        <v>217</v>
      </c>
      <c r="E205">
        <v>99220</v>
      </c>
      <c r="F205" s="2" t="s">
        <v>1060</v>
      </c>
      <c r="G205" t="s">
        <v>38</v>
      </c>
      <c r="H205">
        <v>4</v>
      </c>
      <c r="I205" t="s">
        <v>25</v>
      </c>
      <c r="J205">
        <v>4</v>
      </c>
      <c r="K205" t="s">
        <v>42</v>
      </c>
      <c r="L205">
        <v>21</v>
      </c>
      <c r="M205" t="s">
        <v>27</v>
      </c>
      <c r="N205" t="s">
        <v>53</v>
      </c>
      <c r="O205">
        <v>1</v>
      </c>
      <c r="P205" t="s">
        <v>29</v>
      </c>
      <c r="Q205">
        <v>1</v>
      </c>
      <c r="R205" t="s">
        <v>27</v>
      </c>
      <c r="S205" t="s">
        <v>30</v>
      </c>
      <c r="T205" t="s">
        <v>31</v>
      </c>
    </row>
    <row r="206" spans="1:20" x14ac:dyDescent="0.35">
      <c r="A206" t="s">
        <v>264</v>
      </c>
      <c r="B206">
        <v>12</v>
      </c>
      <c r="C206" t="s">
        <v>21</v>
      </c>
      <c r="D206" t="s">
        <v>46</v>
      </c>
      <c r="E206">
        <v>164450</v>
      </c>
      <c r="F206" s="1" t="s">
        <v>1060</v>
      </c>
      <c r="G206" t="s">
        <v>24</v>
      </c>
      <c r="H206">
        <v>4</v>
      </c>
      <c r="I206" t="s">
        <v>25</v>
      </c>
      <c r="J206">
        <v>1</v>
      </c>
      <c r="K206" t="s">
        <v>26</v>
      </c>
      <c r="L206">
        <v>38</v>
      </c>
      <c r="M206" t="s">
        <v>27</v>
      </c>
      <c r="N206" t="s">
        <v>28</v>
      </c>
      <c r="O206">
        <v>2</v>
      </c>
      <c r="P206" t="s">
        <v>39</v>
      </c>
      <c r="Q206">
        <v>2</v>
      </c>
      <c r="R206" t="s">
        <v>27</v>
      </c>
      <c r="S206" t="s">
        <v>30</v>
      </c>
      <c r="T206" t="s">
        <v>31</v>
      </c>
    </row>
    <row r="207" spans="1:20" x14ac:dyDescent="0.35">
      <c r="A207" t="s">
        <v>265</v>
      </c>
      <c r="B207">
        <v>30</v>
      </c>
      <c r="C207" t="s">
        <v>21</v>
      </c>
      <c r="D207" t="s">
        <v>51</v>
      </c>
      <c r="E207">
        <v>1168530</v>
      </c>
      <c r="F207" s="2" t="s">
        <v>1060</v>
      </c>
      <c r="G207" t="s">
        <v>24</v>
      </c>
      <c r="H207">
        <v>3</v>
      </c>
      <c r="I207" t="s">
        <v>25</v>
      </c>
      <c r="J207">
        <v>4</v>
      </c>
      <c r="K207" t="s">
        <v>47</v>
      </c>
      <c r="L207">
        <v>38</v>
      </c>
      <c r="M207" t="s">
        <v>27</v>
      </c>
      <c r="N207" t="s">
        <v>43</v>
      </c>
      <c r="O207">
        <v>3</v>
      </c>
      <c r="P207" t="s">
        <v>54</v>
      </c>
      <c r="Q207">
        <v>2</v>
      </c>
      <c r="R207" t="s">
        <v>30</v>
      </c>
      <c r="S207" t="s">
        <v>30</v>
      </c>
      <c r="T207" t="s">
        <v>31</v>
      </c>
    </row>
    <row r="208" spans="1:20" x14ac:dyDescent="0.35">
      <c r="A208" t="s">
        <v>266</v>
      </c>
      <c r="B208">
        <v>12</v>
      </c>
      <c r="C208" t="s">
        <v>21</v>
      </c>
      <c r="D208" t="s">
        <v>41</v>
      </c>
      <c r="E208">
        <v>212850</v>
      </c>
      <c r="F208" s="1" t="s">
        <v>1060</v>
      </c>
      <c r="G208" t="s">
        <v>24</v>
      </c>
      <c r="H208">
        <v>4</v>
      </c>
      <c r="I208" t="s">
        <v>25</v>
      </c>
      <c r="J208">
        <v>4</v>
      </c>
      <c r="K208" t="s">
        <v>26</v>
      </c>
      <c r="L208">
        <v>43</v>
      </c>
      <c r="M208" t="s">
        <v>27</v>
      </c>
      <c r="N208" t="s">
        <v>28</v>
      </c>
      <c r="O208">
        <v>3</v>
      </c>
      <c r="P208" t="s">
        <v>29</v>
      </c>
      <c r="Q208">
        <v>1</v>
      </c>
      <c r="R208" t="s">
        <v>30</v>
      </c>
      <c r="S208" t="s">
        <v>30</v>
      </c>
      <c r="T208" t="s">
        <v>31</v>
      </c>
    </row>
    <row r="209" spans="1:20" x14ac:dyDescent="0.35">
      <c r="A209" t="s">
        <v>267</v>
      </c>
      <c r="B209">
        <v>12</v>
      </c>
      <c r="C209" t="s">
        <v>21</v>
      </c>
      <c r="D209" t="s">
        <v>94</v>
      </c>
      <c r="E209">
        <v>156640</v>
      </c>
      <c r="F209" s="2" t="s">
        <v>1060</v>
      </c>
      <c r="G209" t="s">
        <v>38</v>
      </c>
      <c r="H209">
        <v>4</v>
      </c>
      <c r="I209" t="s">
        <v>25</v>
      </c>
      <c r="J209">
        <v>3</v>
      </c>
      <c r="K209" t="s">
        <v>42</v>
      </c>
      <c r="L209">
        <v>26</v>
      </c>
      <c r="M209" t="s">
        <v>27</v>
      </c>
      <c r="N209" t="s">
        <v>28</v>
      </c>
      <c r="O209">
        <v>1</v>
      </c>
      <c r="P209" t="s">
        <v>29</v>
      </c>
      <c r="Q209">
        <v>1</v>
      </c>
      <c r="R209" t="s">
        <v>27</v>
      </c>
      <c r="S209" t="s">
        <v>30</v>
      </c>
      <c r="T209" t="s">
        <v>31</v>
      </c>
    </row>
    <row r="210" spans="1:20" x14ac:dyDescent="0.35">
      <c r="A210" t="s">
        <v>268</v>
      </c>
      <c r="B210">
        <v>24</v>
      </c>
      <c r="C210" t="s">
        <v>33</v>
      </c>
      <c r="D210" t="s">
        <v>61</v>
      </c>
      <c r="E210">
        <v>722480</v>
      </c>
      <c r="F210" s="1" t="s">
        <v>1060</v>
      </c>
      <c r="G210" t="s">
        <v>34</v>
      </c>
      <c r="H210">
        <v>2</v>
      </c>
      <c r="I210" t="s">
        <v>25</v>
      </c>
      <c r="J210">
        <v>2</v>
      </c>
      <c r="K210" t="s">
        <v>52</v>
      </c>
      <c r="L210">
        <v>21</v>
      </c>
      <c r="M210" t="s">
        <v>86</v>
      </c>
      <c r="N210" t="s">
        <v>28</v>
      </c>
      <c r="O210">
        <v>1</v>
      </c>
      <c r="P210" t="s">
        <v>39</v>
      </c>
      <c r="Q210">
        <v>1</v>
      </c>
      <c r="R210" t="s">
        <v>27</v>
      </c>
      <c r="S210" t="s">
        <v>30</v>
      </c>
      <c r="T210" t="s">
        <v>31</v>
      </c>
    </row>
    <row r="211" spans="1:20" x14ac:dyDescent="0.35">
      <c r="A211" t="s">
        <v>269</v>
      </c>
      <c r="B211">
        <v>12</v>
      </c>
      <c r="C211" t="s">
        <v>33</v>
      </c>
      <c r="D211" t="s">
        <v>51</v>
      </c>
      <c r="E211">
        <v>155430</v>
      </c>
      <c r="F211" s="2" t="s">
        <v>1062</v>
      </c>
      <c r="G211" t="s">
        <v>38</v>
      </c>
      <c r="H211">
        <v>3</v>
      </c>
      <c r="I211" t="s">
        <v>25</v>
      </c>
      <c r="J211">
        <v>2</v>
      </c>
      <c r="K211" t="s">
        <v>42</v>
      </c>
      <c r="L211">
        <v>55</v>
      </c>
      <c r="M211" t="s">
        <v>27</v>
      </c>
      <c r="N211" t="s">
        <v>28</v>
      </c>
      <c r="O211">
        <v>1</v>
      </c>
      <c r="P211" t="s">
        <v>29</v>
      </c>
      <c r="Q211">
        <v>1</v>
      </c>
      <c r="R211" t="s">
        <v>27</v>
      </c>
      <c r="S211" t="s">
        <v>75</v>
      </c>
      <c r="T211" t="s">
        <v>31</v>
      </c>
    </row>
    <row r="212" spans="1:20" x14ac:dyDescent="0.35">
      <c r="A212" t="s">
        <v>270</v>
      </c>
      <c r="B212">
        <v>9</v>
      </c>
      <c r="C212" t="s">
        <v>21</v>
      </c>
      <c r="D212" t="s">
        <v>22</v>
      </c>
      <c r="E212">
        <v>338140</v>
      </c>
      <c r="F212" s="1" t="s">
        <v>23</v>
      </c>
      <c r="G212" t="s">
        <v>34</v>
      </c>
      <c r="H212">
        <v>1</v>
      </c>
      <c r="I212" t="s">
        <v>25</v>
      </c>
      <c r="J212">
        <v>2</v>
      </c>
      <c r="K212" t="s">
        <v>26</v>
      </c>
      <c r="L212">
        <v>33</v>
      </c>
      <c r="M212" t="s">
        <v>27</v>
      </c>
      <c r="N212" t="s">
        <v>28</v>
      </c>
      <c r="O212">
        <v>2</v>
      </c>
      <c r="P212" t="s">
        <v>29</v>
      </c>
      <c r="Q212">
        <v>2</v>
      </c>
      <c r="R212" t="s">
        <v>27</v>
      </c>
      <c r="S212" t="s">
        <v>30</v>
      </c>
      <c r="T212" t="s">
        <v>31</v>
      </c>
    </row>
    <row r="213" spans="1:20" x14ac:dyDescent="0.35">
      <c r="A213" t="s">
        <v>271</v>
      </c>
      <c r="B213">
        <v>36</v>
      </c>
      <c r="C213" t="s">
        <v>33</v>
      </c>
      <c r="D213" t="s">
        <v>22</v>
      </c>
      <c r="E213">
        <v>421850</v>
      </c>
      <c r="F213" s="2" t="s">
        <v>23</v>
      </c>
      <c r="G213" t="s">
        <v>24</v>
      </c>
      <c r="H213">
        <v>2</v>
      </c>
      <c r="I213" t="s">
        <v>35</v>
      </c>
      <c r="J213">
        <v>4</v>
      </c>
      <c r="K213" t="s">
        <v>26</v>
      </c>
      <c r="L213">
        <v>45</v>
      </c>
      <c r="M213" t="s">
        <v>27</v>
      </c>
      <c r="N213" t="s">
        <v>28</v>
      </c>
      <c r="O213">
        <v>1</v>
      </c>
      <c r="P213" t="s">
        <v>39</v>
      </c>
      <c r="Q213">
        <v>1</v>
      </c>
      <c r="R213" t="s">
        <v>30</v>
      </c>
      <c r="S213" t="s">
        <v>30</v>
      </c>
      <c r="T213" t="s">
        <v>31</v>
      </c>
    </row>
    <row r="214" spans="1:20" x14ac:dyDescent="0.35">
      <c r="A214" t="s">
        <v>272</v>
      </c>
      <c r="B214">
        <v>27</v>
      </c>
      <c r="C214" t="s">
        <v>68</v>
      </c>
      <c r="D214" t="s">
        <v>61</v>
      </c>
      <c r="E214">
        <v>582230</v>
      </c>
      <c r="F214" s="1" t="s">
        <v>1060</v>
      </c>
      <c r="G214" t="s">
        <v>57</v>
      </c>
      <c r="H214">
        <v>2</v>
      </c>
      <c r="I214" t="s">
        <v>25</v>
      </c>
      <c r="J214">
        <v>4</v>
      </c>
      <c r="K214" t="s">
        <v>42</v>
      </c>
      <c r="L214">
        <v>50</v>
      </c>
      <c r="M214" t="s">
        <v>86</v>
      </c>
      <c r="N214" t="s">
        <v>28</v>
      </c>
      <c r="O214">
        <v>2</v>
      </c>
      <c r="P214" t="s">
        <v>29</v>
      </c>
      <c r="Q214">
        <v>1</v>
      </c>
      <c r="R214" t="s">
        <v>30</v>
      </c>
      <c r="S214" t="s">
        <v>30</v>
      </c>
      <c r="T214" t="s">
        <v>31</v>
      </c>
    </row>
    <row r="215" spans="1:20" x14ac:dyDescent="0.35">
      <c r="A215" t="s">
        <v>273</v>
      </c>
      <c r="B215">
        <v>30</v>
      </c>
      <c r="C215" t="s">
        <v>45</v>
      </c>
      <c r="D215" t="s">
        <v>61</v>
      </c>
      <c r="E215">
        <v>209880</v>
      </c>
      <c r="F215" s="2" t="s">
        <v>1060</v>
      </c>
      <c r="G215" t="s">
        <v>24</v>
      </c>
      <c r="H215">
        <v>4</v>
      </c>
      <c r="I215" t="s">
        <v>25</v>
      </c>
      <c r="J215">
        <v>4</v>
      </c>
      <c r="K215" t="s">
        <v>26</v>
      </c>
      <c r="L215">
        <v>66</v>
      </c>
      <c r="M215" t="s">
        <v>27</v>
      </c>
      <c r="N215" t="s">
        <v>28</v>
      </c>
      <c r="O215">
        <v>1</v>
      </c>
      <c r="P215" t="s">
        <v>54</v>
      </c>
      <c r="Q215">
        <v>1</v>
      </c>
      <c r="R215" t="s">
        <v>30</v>
      </c>
      <c r="S215" t="s">
        <v>30</v>
      </c>
      <c r="T215" t="s">
        <v>31</v>
      </c>
    </row>
    <row r="216" spans="1:20" x14ac:dyDescent="0.35">
      <c r="A216" t="s">
        <v>274</v>
      </c>
      <c r="B216">
        <v>36</v>
      </c>
      <c r="C216" t="s">
        <v>21</v>
      </c>
      <c r="D216" t="s">
        <v>22</v>
      </c>
      <c r="E216">
        <v>367620</v>
      </c>
      <c r="F216" s="1" t="s">
        <v>23</v>
      </c>
      <c r="G216" t="s">
        <v>24</v>
      </c>
      <c r="H216">
        <v>4</v>
      </c>
      <c r="I216" t="s">
        <v>25</v>
      </c>
      <c r="J216">
        <v>2</v>
      </c>
      <c r="K216" t="s">
        <v>52</v>
      </c>
      <c r="L216">
        <v>51</v>
      </c>
      <c r="M216" t="s">
        <v>27</v>
      </c>
      <c r="N216" t="s">
        <v>28</v>
      </c>
      <c r="O216">
        <v>1</v>
      </c>
      <c r="P216" t="s">
        <v>29</v>
      </c>
      <c r="Q216">
        <v>1</v>
      </c>
      <c r="R216" t="s">
        <v>30</v>
      </c>
      <c r="S216" t="s">
        <v>30</v>
      </c>
      <c r="T216" t="s">
        <v>31</v>
      </c>
    </row>
    <row r="217" spans="1:20" x14ac:dyDescent="0.35">
      <c r="A217" t="s">
        <v>275</v>
      </c>
      <c r="B217">
        <v>6</v>
      </c>
      <c r="C217" t="s">
        <v>21</v>
      </c>
      <c r="D217" t="s">
        <v>217</v>
      </c>
      <c r="E217">
        <v>102520</v>
      </c>
      <c r="F217" s="2" t="s">
        <v>23</v>
      </c>
      <c r="G217" t="s">
        <v>38</v>
      </c>
      <c r="H217">
        <v>1</v>
      </c>
      <c r="I217" t="s">
        <v>35</v>
      </c>
      <c r="J217">
        <v>3</v>
      </c>
      <c r="K217" t="s">
        <v>42</v>
      </c>
      <c r="L217">
        <v>39</v>
      </c>
      <c r="M217" t="s">
        <v>27</v>
      </c>
      <c r="N217" t="s">
        <v>28</v>
      </c>
      <c r="O217">
        <v>2</v>
      </c>
      <c r="P217" t="s">
        <v>39</v>
      </c>
      <c r="Q217">
        <v>1</v>
      </c>
      <c r="R217" t="s">
        <v>27</v>
      </c>
      <c r="S217" t="s">
        <v>30</v>
      </c>
      <c r="T217" t="s">
        <v>31</v>
      </c>
    </row>
    <row r="218" spans="1:20" x14ac:dyDescent="0.35">
      <c r="A218" t="s">
        <v>276</v>
      </c>
      <c r="B218">
        <v>18</v>
      </c>
      <c r="C218" t="s">
        <v>68</v>
      </c>
      <c r="D218" t="s">
        <v>61</v>
      </c>
      <c r="E218">
        <v>341440</v>
      </c>
      <c r="F218" s="1" t="s">
        <v>1060</v>
      </c>
      <c r="G218" t="s">
        <v>38</v>
      </c>
      <c r="H218">
        <v>3</v>
      </c>
      <c r="I218" t="s">
        <v>25</v>
      </c>
      <c r="J218">
        <v>1</v>
      </c>
      <c r="K218" t="s">
        <v>42</v>
      </c>
      <c r="L218">
        <v>31</v>
      </c>
      <c r="M218" t="s">
        <v>69</v>
      </c>
      <c r="N218" t="s">
        <v>28</v>
      </c>
      <c r="O218">
        <v>1</v>
      </c>
      <c r="P218" t="s">
        <v>29</v>
      </c>
      <c r="Q218">
        <v>1</v>
      </c>
      <c r="R218" t="s">
        <v>30</v>
      </c>
      <c r="S218" t="s">
        <v>30</v>
      </c>
      <c r="T218" t="s">
        <v>31</v>
      </c>
    </row>
    <row r="219" spans="1:20" x14ac:dyDescent="0.35">
      <c r="A219" t="s">
        <v>277</v>
      </c>
      <c r="B219">
        <v>36</v>
      </c>
      <c r="C219" t="s">
        <v>33</v>
      </c>
      <c r="D219" t="s">
        <v>22</v>
      </c>
      <c r="E219">
        <v>430430</v>
      </c>
      <c r="F219" s="2" t="s">
        <v>1060</v>
      </c>
      <c r="G219" t="s">
        <v>34</v>
      </c>
      <c r="H219">
        <v>2</v>
      </c>
      <c r="I219" t="s">
        <v>25</v>
      </c>
      <c r="J219">
        <v>2</v>
      </c>
      <c r="K219" t="s">
        <v>26</v>
      </c>
      <c r="L219">
        <v>23</v>
      </c>
      <c r="M219" t="s">
        <v>27</v>
      </c>
      <c r="N219" t="s">
        <v>28</v>
      </c>
      <c r="O219">
        <v>1</v>
      </c>
      <c r="P219" t="s">
        <v>29</v>
      </c>
      <c r="Q219">
        <v>1</v>
      </c>
      <c r="R219" t="s">
        <v>30</v>
      </c>
      <c r="S219" t="s">
        <v>30</v>
      </c>
      <c r="T219" t="s">
        <v>31</v>
      </c>
    </row>
    <row r="220" spans="1:20" x14ac:dyDescent="0.35">
      <c r="A220" t="s">
        <v>278</v>
      </c>
      <c r="B220">
        <v>24</v>
      </c>
      <c r="C220" t="s">
        <v>33</v>
      </c>
      <c r="D220" t="s">
        <v>41</v>
      </c>
      <c r="E220">
        <v>332310</v>
      </c>
      <c r="F220" s="1" t="s">
        <v>1060</v>
      </c>
      <c r="G220" t="s">
        <v>34</v>
      </c>
      <c r="H220">
        <v>2</v>
      </c>
      <c r="I220" t="s">
        <v>25</v>
      </c>
      <c r="J220">
        <v>2</v>
      </c>
      <c r="K220" t="s">
        <v>26</v>
      </c>
      <c r="L220">
        <v>24</v>
      </c>
      <c r="M220" t="s">
        <v>27</v>
      </c>
      <c r="N220" t="s">
        <v>53</v>
      </c>
      <c r="O220">
        <v>1</v>
      </c>
      <c r="P220" t="s">
        <v>39</v>
      </c>
      <c r="Q220">
        <v>1</v>
      </c>
      <c r="R220" t="s">
        <v>27</v>
      </c>
      <c r="S220" t="s">
        <v>30</v>
      </c>
      <c r="T220" t="s">
        <v>31</v>
      </c>
    </row>
    <row r="221" spans="1:20" x14ac:dyDescent="0.35">
      <c r="A221" t="s">
        <v>279</v>
      </c>
      <c r="B221">
        <v>10</v>
      </c>
      <c r="C221" t="s">
        <v>33</v>
      </c>
      <c r="D221" t="s">
        <v>46</v>
      </c>
      <c r="E221">
        <v>150040</v>
      </c>
      <c r="F221" s="2" t="s">
        <v>1060</v>
      </c>
      <c r="G221" t="s">
        <v>34</v>
      </c>
      <c r="H221">
        <v>2</v>
      </c>
      <c r="I221" t="s">
        <v>35</v>
      </c>
      <c r="J221">
        <v>4</v>
      </c>
      <c r="K221" t="s">
        <v>52</v>
      </c>
      <c r="L221">
        <v>64</v>
      </c>
      <c r="M221" t="s">
        <v>27</v>
      </c>
      <c r="N221" t="s">
        <v>28</v>
      </c>
      <c r="O221">
        <v>1</v>
      </c>
      <c r="P221" t="s">
        <v>29</v>
      </c>
      <c r="Q221">
        <v>1</v>
      </c>
      <c r="R221" t="s">
        <v>30</v>
      </c>
      <c r="S221" t="s">
        <v>30</v>
      </c>
      <c r="T221" t="s">
        <v>31</v>
      </c>
    </row>
    <row r="222" spans="1:20" x14ac:dyDescent="0.35">
      <c r="A222" t="s">
        <v>280</v>
      </c>
      <c r="B222">
        <v>12</v>
      </c>
      <c r="C222" t="s">
        <v>33</v>
      </c>
      <c r="D222" t="s">
        <v>22</v>
      </c>
      <c r="E222">
        <v>68750</v>
      </c>
      <c r="F222" s="1" t="s">
        <v>1060</v>
      </c>
      <c r="G222" t="s">
        <v>59</v>
      </c>
      <c r="H222">
        <v>4</v>
      </c>
      <c r="I222" t="s">
        <v>25</v>
      </c>
      <c r="J222">
        <v>1</v>
      </c>
      <c r="K222" t="s">
        <v>26</v>
      </c>
      <c r="L222">
        <v>26</v>
      </c>
      <c r="M222" t="s">
        <v>69</v>
      </c>
      <c r="N222" t="s">
        <v>28</v>
      </c>
      <c r="O222">
        <v>1</v>
      </c>
      <c r="P222" t="s">
        <v>39</v>
      </c>
      <c r="Q222">
        <v>1</v>
      </c>
      <c r="R222" t="s">
        <v>27</v>
      </c>
      <c r="S222" t="s">
        <v>30</v>
      </c>
      <c r="T222" t="s">
        <v>31</v>
      </c>
    </row>
    <row r="223" spans="1:20" x14ac:dyDescent="0.35">
      <c r="A223" t="s">
        <v>281</v>
      </c>
      <c r="B223">
        <v>12</v>
      </c>
      <c r="C223" t="s">
        <v>33</v>
      </c>
      <c r="D223" t="s">
        <v>37</v>
      </c>
      <c r="E223">
        <v>132000</v>
      </c>
      <c r="F223" s="2" t="s">
        <v>23</v>
      </c>
      <c r="G223" t="s">
        <v>34</v>
      </c>
      <c r="H223">
        <v>4</v>
      </c>
      <c r="I223" t="s">
        <v>35</v>
      </c>
      <c r="J223">
        <v>4</v>
      </c>
      <c r="K223" t="s">
        <v>42</v>
      </c>
      <c r="L223">
        <v>23</v>
      </c>
      <c r="M223" t="s">
        <v>69</v>
      </c>
      <c r="N223" t="s">
        <v>53</v>
      </c>
      <c r="O223">
        <v>1</v>
      </c>
      <c r="P223" t="s">
        <v>29</v>
      </c>
      <c r="Q223">
        <v>1</v>
      </c>
      <c r="R223" t="s">
        <v>30</v>
      </c>
      <c r="S223" t="s">
        <v>30</v>
      </c>
      <c r="T223" t="s">
        <v>31</v>
      </c>
    </row>
    <row r="224" spans="1:20" x14ac:dyDescent="0.35">
      <c r="A224" t="s">
        <v>282</v>
      </c>
      <c r="B224">
        <v>12</v>
      </c>
      <c r="C224" t="s">
        <v>33</v>
      </c>
      <c r="D224" t="s">
        <v>22</v>
      </c>
      <c r="E224">
        <v>77770</v>
      </c>
      <c r="F224" s="1" t="s">
        <v>1060</v>
      </c>
      <c r="G224" t="s">
        <v>34</v>
      </c>
      <c r="H224">
        <v>4</v>
      </c>
      <c r="I224" t="s">
        <v>25</v>
      </c>
      <c r="J224">
        <v>2</v>
      </c>
      <c r="K224" t="s">
        <v>26</v>
      </c>
      <c r="L224">
        <v>30</v>
      </c>
      <c r="M224" t="s">
        <v>69</v>
      </c>
      <c r="N224" t="s">
        <v>28</v>
      </c>
      <c r="O224">
        <v>2</v>
      </c>
      <c r="P224" t="s">
        <v>29</v>
      </c>
      <c r="Q224">
        <v>1</v>
      </c>
      <c r="R224" t="s">
        <v>27</v>
      </c>
      <c r="S224" t="s">
        <v>30</v>
      </c>
      <c r="T224" t="s">
        <v>31</v>
      </c>
    </row>
    <row r="225" spans="1:20" x14ac:dyDescent="0.35">
      <c r="A225" t="s">
        <v>283</v>
      </c>
      <c r="B225">
        <v>24</v>
      </c>
      <c r="C225" t="s">
        <v>45</v>
      </c>
      <c r="D225" t="s">
        <v>61</v>
      </c>
      <c r="E225">
        <v>327580</v>
      </c>
      <c r="F225" s="2" t="s">
        <v>23</v>
      </c>
      <c r="G225" t="s">
        <v>34</v>
      </c>
      <c r="H225">
        <v>4</v>
      </c>
      <c r="I225" t="s">
        <v>25</v>
      </c>
      <c r="J225">
        <v>4</v>
      </c>
      <c r="K225" t="s">
        <v>26</v>
      </c>
      <c r="L225">
        <v>32</v>
      </c>
      <c r="M225" t="s">
        <v>27</v>
      </c>
      <c r="N225" t="s">
        <v>28</v>
      </c>
      <c r="O225">
        <v>2</v>
      </c>
      <c r="P225" t="s">
        <v>29</v>
      </c>
      <c r="Q225">
        <v>2</v>
      </c>
      <c r="R225" t="s">
        <v>30</v>
      </c>
      <c r="S225" t="s">
        <v>30</v>
      </c>
      <c r="T225" t="s">
        <v>31</v>
      </c>
    </row>
    <row r="226" spans="1:20" x14ac:dyDescent="0.35">
      <c r="A226" t="s">
        <v>284</v>
      </c>
      <c r="B226">
        <v>15</v>
      </c>
      <c r="C226" t="s">
        <v>33</v>
      </c>
      <c r="D226" t="s">
        <v>51</v>
      </c>
      <c r="E226">
        <v>512270</v>
      </c>
      <c r="F226" s="1" t="s">
        <v>1060</v>
      </c>
      <c r="G226" t="s">
        <v>34</v>
      </c>
      <c r="H226">
        <v>3</v>
      </c>
      <c r="I226" t="s">
        <v>25</v>
      </c>
      <c r="J226">
        <v>2</v>
      </c>
      <c r="K226" t="s">
        <v>52</v>
      </c>
      <c r="L226">
        <v>30</v>
      </c>
      <c r="M226" t="s">
        <v>27</v>
      </c>
      <c r="N226" t="s">
        <v>28</v>
      </c>
      <c r="O226">
        <v>1</v>
      </c>
      <c r="P226" t="s">
        <v>29</v>
      </c>
      <c r="Q226">
        <v>1</v>
      </c>
      <c r="R226" t="s">
        <v>30</v>
      </c>
      <c r="S226" t="s">
        <v>30</v>
      </c>
      <c r="T226" t="s">
        <v>31</v>
      </c>
    </row>
    <row r="227" spans="1:20" x14ac:dyDescent="0.35">
      <c r="A227" t="s">
        <v>285</v>
      </c>
      <c r="B227">
        <v>36</v>
      </c>
      <c r="C227" t="s">
        <v>68</v>
      </c>
      <c r="D227" t="s">
        <v>99</v>
      </c>
      <c r="E227">
        <v>287430</v>
      </c>
      <c r="F227" s="2" t="s">
        <v>1060</v>
      </c>
      <c r="G227" t="s">
        <v>34</v>
      </c>
      <c r="H227">
        <v>4</v>
      </c>
      <c r="I227" t="s">
        <v>25</v>
      </c>
      <c r="J227">
        <v>2</v>
      </c>
      <c r="K227" t="s">
        <v>52</v>
      </c>
      <c r="L227">
        <v>27</v>
      </c>
      <c r="M227" t="s">
        <v>27</v>
      </c>
      <c r="N227" t="s">
        <v>28</v>
      </c>
      <c r="O227">
        <v>2</v>
      </c>
      <c r="P227" t="s">
        <v>29</v>
      </c>
      <c r="Q227">
        <v>1</v>
      </c>
      <c r="R227" t="s">
        <v>27</v>
      </c>
      <c r="S227" t="s">
        <v>30</v>
      </c>
      <c r="T227" t="s">
        <v>31</v>
      </c>
    </row>
    <row r="228" spans="1:20" x14ac:dyDescent="0.35">
      <c r="A228" t="s">
        <v>286</v>
      </c>
      <c r="B228">
        <v>48</v>
      </c>
      <c r="C228" t="s">
        <v>33</v>
      </c>
      <c r="D228" t="s">
        <v>22</v>
      </c>
      <c r="E228">
        <v>1205710</v>
      </c>
      <c r="F228" s="1" t="s">
        <v>1062</v>
      </c>
      <c r="G228" t="s">
        <v>38</v>
      </c>
      <c r="H228">
        <v>1</v>
      </c>
      <c r="I228" t="s">
        <v>25</v>
      </c>
      <c r="J228">
        <v>2</v>
      </c>
      <c r="K228" t="s">
        <v>47</v>
      </c>
      <c r="L228">
        <v>27</v>
      </c>
      <c r="M228" t="s">
        <v>69</v>
      </c>
      <c r="N228" t="s">
        <v>28</v>
      </c>
      <c r="O228">
        <v>2</v>
      </c>
      <c r="P228" t="s">
        <v>29</v>
      </c>
      <c r="Q228">
        <v>1</v>
      </c>
      <c r="R228" t="s">
        <v>30</v>
      </c>
      <c r="S228" t="s">
        <v>30</v>
      </c>
      <c r="T228" t="s">
        <v>31</v>
      </c>
    </row>
    <row r="229" spans="1:20" x14ac:dyDescent="0.35">
      <c r="A229" t="s">
        <v>287</v>
      </c>
      <c r="B229">
        <v>12</v>
      </c>
      <c r="C229" t="s">
        <v>33</v>
      </c>
      <c r="D229" t="s">
        <v>41</v>
      </c>
      <c r="E229">
        <v>865150</v>
      </c>
      <c r="F229" s="2" t="s">
        <v>1060</v>
      </c>
      <c r="G229" t="s">
        <v>24</v>
      </c>
      <c r="H229">
        <v>4</v>
      </c>
      <c r="I229" t="s">
        <v>25</v>
      </c>
      <c r="J229">
        <v>4</v>
      </c>
      <c r="K229" t="s">
        <v>47</v>
      </c>
      <c r="L229">
        <v>53</v>
      </c>
      <c r="M229" t="s">
        <v>27</v>
      </c>
      <c r="N229" t="s">
        <v>43</v>
      </c>
      <c r="O229">
        <v>1</v>
      </c>
      <c r="P229" t="s">
        <v>54</v>
      </c>
      <c r="Q229">
        <v>1</v>
      </c>
      <c r="R229" t="s">
        <v>30</v>
      </c>
      <c r="S229" t="s">
        <v>30</v>
      </c>
      <c r="T229" t="s">
        <v>31</v>
      </c>
    </row>
    <row r="230" spans="1:20" x14ac:dyDescent="0.35">
      <c r="A230" t="s">
        <v>288</v>
      </c>
      <c r="B230">
        <v>9</v>
      </c>
      <c r="C230" t="s">
        <v>33</v>
      </c>
      <c r="D230" t="s">
        <v>22</v>
      </c>
      <c r="E230">
        <v>162580</v>
      </c>
      <c r="F230" s="1" t="s">
        <v>1060</v>
      </c>
      <c r="G230" t="s">
        <v>38</v>
      </c>
      <c r="H230">
        <v>4</v>
      </c>
      <c r="I230" t="s">
        <v>25</v>
      </c>
      <c r="J230">
        <v>2</v>
      </c>
      <c r="K230" t="s">
        <v>52</v>
      </c>
      <c r="L230">
        <v>22</v>
      </c>
      <c r="M230" t="s">
        <v>27</v>
      </c>
      <c r="N230" t="s">
        <v>28</v>
      </c>
      <c r="O230">
        <v>1</v>
      </c>
      <c r="P230" t="s">
        <v>29</v>
      </c>
      <c r="Q230">
        <v>1</v>
      </c>
      <c r="R230" t="s">
        <v>27</v>
      </c>
      <c r="S230" t="s">
        <v>30</v>
      </c>
      <c r="T230" t="s">
        <v>31</v>
      </c>
    </row>
    <row r="231" spans="1:20" x14ac:dyDescent="0.35">
      <c r="A231" t="s">
        <v>289</v>
      </c>
      <c r="B231">
        <v>24</v>
      </c>
      <c r="C231" t="s">
        <v>33</v>
      </c>
      <c r="D231" t="s">
        <v>41</v>
      </c>
      <c r="E231">
        <v>346390</v>
      </c>
      <c r="F231" s="2" t="s">
        <v>1060</v>
      </c>
      <c r="G231" t="s">
        <v>59</v>
      </c>
      <c r="H231">
        <v>4</v>
      </c>
      <c r="I231" t="s">
        <v>25</v>
      </c>
      <c r="J231">
        <v>1</v>
      </c>
      <c r="K231" t="s">
        <v>47</v>
      </c>
      <c r="L231">
        <v>22</v>
      </c>
      <c r="M231" t="s">
        <v>69</v>
      </c>
      <c r="N231" t="s">
        <v>43</v>
      </c>
      <c r="O231">
        <v>1</v>
      </c>
      <c r="P231" t="s">
        <v>29</v>
      </c>
      <c r="Q231">
        <v>1</v>
      </c>
      <c r="R231" t="s">
        <v>27</v>
      </c>
      <c r="S231" t="s">
        <v>30</v>
      </c>
      <c r="T231" t="s">
        <v>31</v>
      </c>
    </row>
    <row r="232" spans="1:20" x14ac:dyDescent="0.35">
      <c r="A232" t="s">
        <v>290</v>
      </c>
      <c r="B232">
        <v>36</v>
      </c>
      <c r="C232" t="s">
        <v>33</v>
      </c>
      <c r="D232" t="s">
        <v>22</v>
      </c>
      <c r="E232">
        <v>463100</v>
      </c>
      <c r="F232" s="1" t="s">
        <v>1060</v>
      </c>
      <c r="G232" t="s">
        <v>34</v>
      </c>
      <c r="H232">
        <v>4</v>
      </c>
      <c r="I232" t="s">
        <v>25</v>
      </c>
      <c r="J232">
        <v>2</v>
      </c>
      <c r="K232" t="s">
        <v>52</v>
      </c>
      <c r="L232">
        <v>26</v>
      </c>
      <c r="M232" t="s">
        <v>27</v>
      </c>
      <c r="N232" t="s">
        <v>28</v>
      </c>
      <c r="O232">
        <v>1</v>
      </c>
      <c r="P232" t="s">
        <v>29</v>
      </c>
      <c r="Q232">
        <v>1</v>
      </c>
      <c r="R232" t="s">
        <v>27</v>
      </c>
      <c r="S232" t="s">
        <v>30</v>
      </c>
      <c r="T232" t="s">
        <v>31</v>
      </c>
    </row>
    <row r="233" spans="1:20" x14ac:dyDescent="0.35">
      <c r="A233" t="s">
        <v>291</v>
      </c>
      <c r="B233">
        <v>9</v>
      </c>
      <c r="C233" t="s">
        <v>33</v>
      </c>
      <c r="D233" t="s">
        <v>46</v>
      </c>
      <c r="E233">
        <v>275770</v>
      </c>
      <c r="F233" s="2" t="s">
        <v>1061</v>
      </c>
      <c r="G233" t="s">
        <v>24</v>
      </c>
      <c r="H233">
        <v>2</v>
      </c>
      <c r="I233" t="s">
        <v>25</v>
      </c>
      <c r="J233">
        <v>4</v>
      </c>
      <c r="K233" t="s">
        <v>47</v>
      </c>
      <c r="L233">
        <v>51</v>
      </c>
      <c r="M233" t="s">
        <v>27</v>
      </c>
      <c r="N233" t="s">
        <v>43</v>
      </c>
      <c r="O233">
        <v>1</v>
      </c>
      <c r="P233" t="s">
        <v>39</v>
      </c>
      <c r="Q233">
        <v>1</v>
      </c>
      <c r="R233" t="s">
        <v>27</v>
      </c>
      <c r="S233" t="s">
        <v>30</v>
      </c>
      <c r="T233" t="s">
        <v>31</v>
      </c>
    </row>
    <row r="234" spans="1:20" x14ac:dyDescent="0.35">
      <c r="A234" t="s">
        <v>292</v>
      </c>
      <c r="B234">
        <v>12</v>
      </c>
      <c r="C234" t="s">
        <v>33</v>
      </c>
      <c r="D234" t="s">
        <v>22</v>
      </c>
      <c r="E234">
        <v>235510</v>
      </c>
      <c r="F234" s="1" t="s">
        <v>1063</v>
      </c>
      <c r="G234" t="s">
        <v>38</v>
      </c>
      <c r="H234">
        <v>3</v>
      </c>
      <c r="I234" t="s">
        <v>25</v>
      </c>
      <c r="J234">
        <v>1</v>
      </c>
      <c r="K234" t="s">
        <v>47</v>
      </c>
      <c r="L234">
        <v>35</v>
      </c>
      <c r="M234" t="s">
        <v>27</v>
      </c>
      <c r="N234" t="s">
        <v>28</v>
      </c>
      <c r="O234">
        <v>1</v>
      </c>
      <c r="P234" t="s">
        <v>29</v>
      </c>
      <c r="Q234">
        <v>1</v>
      </c>
      <c r="R234" t="s">
        <v>27</v>
      </c>
      <c r="S234" t="s">
        <v>30</v>
      </c>
      <c r="T234" t="s">
        <v>31</v>
      </c>
    </row>
    <row r="235" spans="1:20" x14ac:dyDescent="0.35">
      <c r="A235" t="s">
        <v>293</v>
      </c>
      <c r="B235">
        <v>18</v>
      </c>
      <c r="C235" t="s">
        <v>33</v>
      </c>
      <c r="D235" t="s">
        <v>22</v>
      </c>
      <c r="E235">
        <v>95260</v>
      </c>
      <c r="F235" s="2" t="s">
        <v>1060</v>
      </c>
      <c r="G235" t="s">
        <v>34</v>
      </c>
      <c r="H235">
        <v>4</v>
      </c>
      <c r="I235" t="s">
        <v>25</v>
      </c>
      <c r="J235">
        <v>2</v>
      </c>
      <c r="K235" t="s">
        <v>26</v>
      </c>
      <c r="L235">
        <v>25</v>
      </c>
      <c r="M235" t="s">
        <v>27</v>
      </c>
      <c r="N235" t="s">
        <v>28</v>
      </c>
      <c r="O235">
        <v>1</v>
      </c>
      <c r="P235" t="s">
        <v>39</v>
      </c>
      <c r="Q235">
        <v>1</v>
      </c>
      <c r="R235" t="s">
        <v>27</v>
      </c>
      <c r="S235" t="s">
        <v>30</v>
      </c>
      <c r="T235" t="s">
        <v>31</v>
      </c>
    </row>
    <row r="236" spans="1:20" x14ac:dyDescent="0.35">
      <c r="A236" t="s">
        <v>294</v>
      </c>
      <c r="B236">
        <v>4</v>
      </c>
      <c r="C236" t="s">
        <v>21</v>
      </c>
      <c r="D236" t="s">
        <v>22</v>
      </c>
      <c r="E236">
        <v>169840</v>
      </c>
      <c r="F236" s="1" t="s">
        <v>1060</v>
      </c>
      <c r="G236" t="s">
        <v>38</v>
      </c>
      <c r="H236">
        <v>2</v>
      </c>
      <c r="I236" t="s">
        <v>25</v>
      </c>
      <c r="J236">
        <v>1</v>
      </c>
      <c r="K236" t="s">
        <v>26</v>
      </c>
      <c r="L236">
        <v>42</v>
      </c>
      <c r="M236" t="s">
        <v>27</v>
      </c>
      <c r="N236" t="s">
        <v>28</v>
      </c>
      <c r="O236">
        <v>3</v>
      </c>
      <c r="P236" t="s">
        <v>39</v>
      </c>
      <c r="Q236">
        <v>2</v>
      </c>
      <c r="R236" t="s">
        <v>27</v>
      </c>
      <c r="S236" t="s">
        <v>30</v>
      </c>
      <c r="T236" t="s">
        <v>31</v>
      </c>
    </row>
    <row r="237" spans="1:20" x14ac:dyDescent="0.35">
      <c r="A237" t="s">
        <v>295</v>
      </c>
      <c r="B237">
        <v>24</v>
      </c>
      <c r="C237" t="s">
        <v>33</v>
      </c>
      <c r="D237" t="s">
        <v>22</v>
      </c>
      <c r="E237">
        <v>200530</v>
      </c>
      <c r="F237" s="2" t="s">
        <v>1060</v>
      </c>
      <c r="G237" t="s">
        <v>57</v>
      </c>
      <c r="H237">
        <v>4</v>
      </c>
      <c r="I237" t="s">
        <v>25</v>
      </c>
      <c r="J237">
        <v>2</v>
      </c>
      <c r="K237" t="s">
        <v>52</v>
      </c>
      <c r="L237">
        <v>30</v>
      </c>
      <c r="M237" t="s">
        <v>86</v>
      </c>
      <c r="N237" t="s">
        <v>28</v>
      </c>
      <c r="O237">
        <v>1</v>
      </c>
      <c r="P237" t="s">
        <v>54</v>
      </c>
      <c r="Q237">
        <v>2</v>
      </c>
      <c r="R237" t="s">
        <v>27</v>
      </c>
      <c r="S237" t="s">
        <v>30</v>
      </c>
      <c r="T237" t="s">
        <v>31</v>
      </c>
    </row>
    <row r="238" spans="1:20" x14ac:dyDescent="0.35">
      <c r="A238" t="s">
        <v>296</v>
      </c>
      <c r="B238">
        <v>6</v>
      </c>
      <c r="C238" t="s">
        <v>33</v>
      </c>
      <c r="D238" t="s">
        <v>46</v>
      </c>
      <c r="E238">
        <v>1601050</v>
      </c>
      <c r="F238" s="1" t="s">
        <v>23</v>
      </c>
      <c r="G238" t="s">
        <v>57</v>
      </c>
      <c r="H238">
        <v>1</v>
      </c>
      <c r="I238" t="s">
        <v>25</v>
      </c>
      <c r="J238">
        <v>2</v>
      </c>
      <c r="K238" t="s">
        <v>42</v>
      </c>
      <c r="L238">
        <v>23</v>
      </c>
      <c r="M238" t="s">
        <v>27</v>
      </c>
      <c r="N238" t="s">
        <v>28</v>
      </c>
      <c r="O238">
        <v>1</v>
      </c>
      <c r="P238" t="s">
        <v>105</v>
      </c>
      <c r="Q238">
        <v>1</v>
      </c>
      <c r="R238" t="s">
        <v>30</v>
      </c>
      <c r="S238" t="s">
        <v>30</v>
      </c>
      <c r="T238" t="s">
        <v>31</v>
      </c>
    </row>
    <row r="239" spans="1:20" x14ac:dyDescent="0.35">
      <c r="A239" t="s">
        <v>297</v>
      </c>
      <c r="B239">
        <v>21</v>
      </c>
      <c r="C239" t="s">
        <v>33</v>
      </c>
      <c r="D239" t="s">
        <v>61</v>
      </c>
      <c r="E239">
        <v>304370</v>
      </c>
      <c r="F239" s="2" t="s">
        <v>1063</v>
      </c>
      <c r="G239" t="s">
        <v>24</v>
      </c>
      <c r="H239">
        <v>4</v>
      </c>
      <c r="I239" t="s">
        <v>25</v>
      </c>
      <c r="J239">
        <v>2</v>
      </c>
      <c r="K239" t="s">
        <v>52</v>
      </c>
      <c r="L239">
        <v>61</v>
      </c>
      <c r="M239" t="s">
        <v>69</v>
      </c>
      <c r="N239" t="s">
        <v>53</v>
      </c>
      <c r="O239">
        <v>2</v>
      </c>
      <c r="P239" t="s">
        <v>39</v>
      </c>
      <c r="Q239">
        <v>1</v>
      </c>
      <c r="R239" t="s">
        <v>27</v>
      </c>
      <c r="S239" t="s">
        <v>30</v>
      </c>
      <c r="T239" t="s">
        <v>31</v>
      </c>
    </row>
    <row r="240" spans="1:20" x14ac:dyDescent="0.35">
      <c r="A240" t="s">
        <v>298</v>
      </c>
      <c r="B240">
        <v>12</v>
      </c>
      <c r="C240" t="s">
        <v>21</v>
      </c>
      <c r="D240" t="s">
        <v>22</v>
      </c>
      <c r="E240">
        <v>142010</v>
      </c>
      <c r="F240" s="1" t="s">
        <v>1060</v>
      </c>
      <c r="G240" t="s">
        <v>34</v>
      </c>
      <c r="H240">
        <v>4</v>
      </c>
      <c r="I240" t="s">
        <v>35</v>
      </c>
      <c r="J240">
        <v>2</v>
      </c>
      <c r="K240" t="s">
        <v>42</v>
      </c>
      <c r="L240">
        <v>35</v>
      </c>
      <c r="M240" t="s">
        <v>27</v>
      </c>
      <c r="N240" t="s">
        <v>28</v>
      </c>
      <c r="O240">
        <v>2</v>
      </c>
      <c r="P240" t="s">
        <v>29</v>
      </c>
      <c r="Q240">
        <v>1</v>
      </c>
      <c r="R240" t="s">
        <v>27</v>
      </c>
      <c r="S240" t="s">
        <v>30</v>
      </c>
      <c r="T240" t="s">
        <v>31</v>
      </c>
    </row>
    <row r="241" spans="1:20" x14ac:dyDescent="0.35">
      <c r="A241" t="s">
        <v>299</v>
      </c>
      <c r="B241">
        <v>30</v>
      </c>
      <c r="C241" t="s">
        <v>33</v>
      </c>
      <c r="D241" t="s">
        <v>22</v>
      </c>
      <c r="E241">
        <v>277420</v>
      </c>
      <c r="F241" s="2" t="s">
        <v>1060</v>
      </c>
      <c r="G241" t="s">
        <v>24</v>
      </c>
      <c r="H241">
        <v>1</v>
      </c>
      <c r="I241" t="s">
        <v>25</v>
      </c>
      <c r="J241">
        <v>3</v>
      </c>
      <c r="K241" t="s">
        <v>42</v>
      </c>
      <c r="L241">
        <v>39</v>
      </c>
      <c r="M241" t="s">
        <v>27</v>
      </c>
      <c r="N241" t="s">
        <v>28</v>
      </c>
      <c r="O241">
        <v>1</v>
      </c>
      <c r="P241" t="s">
        <v>29</v>
      </c>
      <c r="Q241">
        <v>2</v>
      </c>
      <c r="R241" t="s">
        <v>27</v>
      </c>
      <c r="S241" t="s">
        <v>30</v>
      </c>
      <c r="T241" t="s">
        <v>31</v>
      </c>
    </row>
    <row r="242" spans="1:20" x14ac:dyDescent="0.35">
      <c r="A242" t="s">
        <v>300</v>
      </c>
      <c r="B242">
        <v>24</v>
      </c>
      <c r="C242" t="s">
        <v>33</v>
      </c>
      <c r="D242" t="s">
        <v>46</v>
      </c>
      <c r="E242">
        <v>100650</v>
      </c>
      <c r="F242" s="1" t="s">
        <v>23</v>
      </c>
      <c r="G242" t="s">
        <v>24</v>
      </c>
      <c r="H242">
        <v>4</v>
      </c>
      <c r="I242" t="s">
        <v>35</v>
      </c>
      <c r="J242">
        <v>2</v>
      </c>
      <c r="K242" t="s">
        <v>52</v>
      </c>
      <c r="L242">
        <v>29</v>
      </c>
      <c r="M242" t="s">
        <v>69</v>
      </c>
      <c r="N242" t="s">
        <v>28</v>
      </c>
      <c r="O242">
        <v>1</v>
      </c>
      <c r="P242" t="s">
        <v>29</v>
      </c>
      <c r="Q242">
        <v>1</v>
      </c>
      <c r="R242" t="s">
        <v>27</v>
      </c>
      <c r="S242" t="s">
        <v>30</v>
      </c>
      <c r="T242" t="s">
        <v>31</v>
      </c>
    </row>
    <row r="243" spans="1:20" x14ac:dyDescent="0.35">
      <c r="A243" t="s">
        <v>301</v>
      </c>
      <c r="B243">
        <v>6</v>
      </c>
      <c r="C243" t="s">
        <v>33</v>
      </c>
      <c r="D243" t="s">
        <v>22</v>
      </c>
      <c r="E243">
        <v>175450</v>
      </c>
      <c r="F243" s="2" t="s">
        <v>1060</v>
      </c>
      <c r="G243" t="s">
        <v>38</v>
      </c>
      <c r="H243">
        <v>3</v>
      </c>
      <c r="I243" t="s">
        <v>25</v>
      </c>
      <c r="J243">
        <v>2</v>
      </c>
      <c r="K243" t="s">
        <v>42</v>
      </c>
      <c r="L243">
        <v>51</v>
      </c>
      <c r="M243" t="s">
        <v>27</v>
      </c>
      <c r="N243" t="s">
        <v>28</v>
      </c>
      <c r="O243">
        <v>1</v>
      </c>
      <c r="P243" t="s">
        <v>29</v>
      </c>
      <c r="Q243">
        <v>2</v>
      </c>
      <c r="R243" t="s">
        <v>27</v>
      </c>
      <c r="S243" t="s">
        <v>30</v>
      </c>
      <c r="T243" t="s">
        <v>31</v>
      </c>
    </row>
    <row r="244" spans="1:20" x14ac:dyDescent="0.35">
      <c r="A244" t="s">
        <v>302</v>
      </c>
      <c r="B244">
        <v>48</v>
      </c>
      <c r="C244" t="s">
        <v>68</v>
      </c>
      <c r="D244" t="s">
        <v>51</v>
      </c>
      <c r="E244">
        <v>506550</v>
      </c>
      <c r="F244" s="1" t="s">
        <v>1060</v>
      </c>
      <c r="G244" t="s">
        <v>24</v>
      </c>
      <c r="H244">
        <v>3</v>
      </c>
      <c r="I244" t="s">
        <v>25</v>
      </c>
      <c r="J244">
        <v>4</v>
      </c>
      <c r="K244" t="s">
        <v>47</v>
      </c>
      <c r="L244">
        <v>24</v>
      </c>
      <c r="M244" t="s">
        <v>27</v>
      </c>
      <c r="N244" t="s">
        <v>43</v>
      </c>
      <c r="O244">
        <v>2</v>
      </c>
      <c r="P244" t="s">
        <v>29</v>
      </c>
      <c r="Q244">
        <v>2</v>
      </c>
      <c r="R244" t="s">
        <v>27</v>
      </c>
      <c r="S244" t="s">
        <v>30</v>
      </c>
      <c r="T244" t="s">
        <v>31</v>
      </c>
    </row>
    <row r="245" spans="1:20" x14ac:dyDescent="0.35">
      <c r="A245" t="s">
        <v>303</v>
      </c>
      <c r="B245">
        <v>12</v>
      </c>
      <c r="C245" t="s">
        <v>21</v>
      </c>
      <c r="D245" t="s">
        <v>61</v>
      </c>
      <c r="E245">
        <v>130350</v>
      </c>
      <c r="F245" s="2" t="s">
        <v>1060</v>
      </c>
      <c r="G245" t="s">
        <v>34</v>
      </c>
      <c r="H245">
        <v>3</v>
      </c>
      <c r="I245" t="s">
        <v>35</v>
      </c>
      <c r="J245">
        <v>2</v>
      </c>
      <c r="K245" t="s">
        <v>26</v>
      </c>
      <c r="L245">
        <v>27</v>
      </c>
      <c r="M245" t="s">
        <v>27</v>
      </c>
      <c r="N245" t="s">
        <v>28</v>
      </c>
      <c r="O245">
        <v>2</v>
      </c>
      <c r="P245" t="s">
        <v>29</v>
      </c>
      <c r="Q245">
        <v>1</v>
      </c>
      <c r="R245" t="s">
        <v>27</v>
      </c>
      <c r="S245" t="s">
        <v>30</v>
      </c>
      <c r="T245" t="s">
        <v>31</v>
      </c>
    </row>
    <row r="246" spans="1:20" x14ac:dyDescent="0.35">
      <c r="A246" t="s">
        <v>304</v>
      </c>
      <c r="B246">
        <v>12</v>
      </c>
      <c r="C246" t="s">
        <v>81</v>
      </c>
      <c r="D246" t="s">
        <v>217</v>
      </c>
      <c r="E246">
        <v>379170</v>
      </c>
      <c r="F246" s="1" t="s">
        <v>1061</v>
      </c>
      <c r="G246" t="s">
        <v>34</v>
      </c>
      <c r="H246">
        <v>4</v>
      </c>
      <c r="I246" t="s">
        <v>35</v>
      </c>
      <c r="J246">
        <v>3</v>
      </c>
      <c r="K246" t="s">
        <v>26</v>
      </c>
      <c r="L246">
        <v>35</v>
      </c>
      <c r="M246" t="s">
        <v>27</v>
      </c>
      <c r="N246" t="s">
        <v>28</v>
      </c>
      <c r="O246">
        <v>1</v>
      </c>
      <c r="P246" t="s">
        <v>39</v>
      </c>
      <c r="Q246">
        <v>2</v>
      </c>
      <c r="R246" t="s">
        <v>27</v>
      </c>
      <c r="S246" t="s">
        <v>30</v>
      </c>
      <c r="T246" t="s">
        <v>31</v>
      </c>
    </row>
    <row r="247" spans="1:20" x14ac:dyDescent="0.35">
      <c r="A247" t="s">
        <v>305</v>
      </c>
      <c r="B247">
        <v>24</v>
      </c>
      <c r="C247" t="s">
        <v>33</v>
      </c>
      <c r="D247" t="s">
        <v>61</v>
      </c>
      <c r="E247">
        <v>138380</v>
      </c>
      <c r="F247" s="2" t="s">
        <v>1060</v>
      </c>
      <c r="G247" t="s">
        <v>38</v>
      </c>
      <c r="H247">
        <v>4</v>
      </c>
      <c r="I247" t="s">
        <v>25</v>
      </c>
      <c r="J247">
        <v>1</v>
      </c>
      <c r="K247" t="s">
        <v>26</v>
      </c>
      <c r="L247">
        <v>25</v>
      </c>
      <c r="M247" t="s">
        <v>27</v>
      </c>
      <c r="N247" t="s">
        <v>28</v>
      </c>
      <c r="O247">
        <v>1</v>
      </c>
      <c r="P247" t="s">
        <v>29</v>
      </c>
      <c r="Q247">
        <v>1</v>
      </c>
      <c r="R247" t="s">
        <v>30</v>
      </c>
      <c r="S247" t="s">
        <v>30</v>
      </c>
      <c r="T247" t="s">
        <v>31</v>
      </c>
    </row>
    <row r="248" spans="1:20" x14ac:dyDescent="0.35">
      <c r="A248" t="s">
        <v>306</v>
      </c>
      <c r="B248">
        <v>12</v>
      </c>
      <c r="C248" t="s">
        <v>21</v>
      </c>
      <c r="D248" t="s">
        <v>22</v>
      </c>
      <c r="E248">
        <v>78870</v>
      </c>
      <c r="F248" s="1" t="s">
        <v>1060</v>
      </c>
      <c r="G248" t="s">
        <v>24</v>
      </c>
      <c r="H248">
        <v>4</v>
      </c>
      <c r="I248" t="s">
        <v>25</v>
      </c>
      <c r="J248">
        <v>4</v>
      </c>
      <c r="K248" t="s">
        <v>26</v>
      </c>
      <c r="L248">
        <v>52</v>
      </c>
      <c r="M248" t="s">
        <v>27</v>
      </c>
      <c r="N248" t="s">
        <v>28</v>
      </c>
      <c r="O248">
        <v>3</v>
      </c>
      <c r="P248" t="s">
        <v>29</v>
      </c>
      <c r="Q248">
        <v>1</v>
      </c>
      <c r="R248" t="s">
        <v>27</v>
      </c>
      <c r="S248" t="s">
        <v>30</v>
      </c>
      <c r="T248" t="s">
        <v>31</v>
      </c>
    </row>
    <row r="249" spans="1:20" x14ac:dyDescent="0.35">
      <c r="A249" t="s">
        <v>307</v>
      </c>
      <c r="B249">
        <v>6</v>
      </c>
      <c r="C249" t="s">
        <v>68</v>
      </c>
      <c r="D249" t="s">
        <v>46</v>
      </c>
      <c r="E249">
        <v>132440</v>
      </c>
      <c r="F249" s="2" t="s">
        <v>1063</v>
      </c>
      <c r="G249" t="s">
        <v>34</v>
      </c>
      <c r="H249">
        <v>4</v>
      </c>
      <c r="I249" t="s">
        <v>25</v>
      </c>
      <c r="J249">
        <v>1</v>
      </c>
      <c r="K249" t="s">
        <v>47</v>
      </c>
      <c r="L249">
        <v>35</v>
      </c>
      <c r="M249" t="s">
        <v>69</v>
      </c>
      <c r="N249" t="s">
        <v>53</v>
      </c>
      <c r="O249">
        <v>1</v>
      </c>
      <c r="P249" t="s">
        <v>29</v>
      </c>
      <c r="Q249">
        <v>1</v>
      </c>
      <c r="R249" t="s">
        <v>27</v>
      </c>
      <c r="S249" t="s">
        <v>75</v>
      </c>
      <c r="T249" t="s">
        <v>31</v>
      </c>
    </row>
    <row r="250" spans="1:20" x14ac:dyDescent="0.35">
      <c r="A250" t="s">
        <v>308</v>
      </c>
      <c r="B250">
        <v>24</v>
      </c>
      <c r="C250" t="s">
        <v>33</v>
      </c>
      <c r="D250" t="s">
        <v>41</v>
      </c>
      <c r="E250">
        <v>211750</v>
      </c>
      <c r="F250" s="1" t="s">
        <v>1060</v>
      </c>
      <c r="G250" t="s">
        <v>34</v>
      </c>
      <c r="H250">
        <v>2</v>
      </c>
      <c r="I250" t="s">
        <v>25</v>
      </c>
      <c r="J250">
        <v>2</v>
      </c>
      <c r="K250" t="s">
        <v>26</v>
      </c>
      <c r="L250">
        <v>26</v>
      </c>
      <c r="M250" t="s">
        <v>27</v>
      </c>
      <c r="N250" t="s">
        <v>28</v>
      </c>
      <c r="O250">
        <v>1</v>
      </c>
      <c r="P250" t="s">
        <v>29</v>
      </c>
      <c r="Q250">
        <v>1</v>
      </c>
      <c r="R250" t="s">
        <v>27</v>
      </c>
      <c r="S250" t="s">
        <v>30</v>
      </c>
      <c r="T250" t="s">
        <v>31</v>
      </c>
    </row>
    <row r="251" spans="1:20" x14ac:dyDescent="0.35">
      <c r="A251" t="s">
        <v>309</v>
      </c>
      <c r="B251">
        <v>18</v>
      </c>
      <c r="C251" t="s">
        <v>33</v>
      </c>
      <c r="D251" t="s">
        <v>22</v>
      </c>
      <c r="E251">
        <v>47630</v>
      </c>
      <c r="F251" s="2" t="s">
        <v>1060</v>
      </c>
      <c r="G251" t="s">
        <v>57</v>
      </c>
      <c r="H251">
        <v>3</v>
      </c>
      <c r="I251" t="s">
        <v>35</v>
      </c>
      <c r="J251">
        <v>4</v>
      </c>
      <c r="K251" t="s">
        <v>26</v>
      </c>
      <c r="L251">
        <v>22</v>
      </c>
      <c r="M251" t="s">
        <v>27</v>
      </c>
      <c r="N251" t="s">
        <v>53</v>
      </c>
      <c r="O251">
        <v>1</v>
      </c>
      <c r="P251" t="s">
        <v>29</v>
      </c>
      <c r="Q251">
        <v>1</v>
      </c>
      <c r="R251" t="s">
        <v>27</v>
      </c>
      <c r="S251" t="s">
        <v>30</v>
      </c>
      <c r="T251" t="s">
        <v>31</v>
      </c>
    </row>
    <row r="252" spans="1:20" x14ac:dyDescent="0.35">
      <c r="A252" t="s">
        <v>310</v>
      </c>
      <c r="B252">
        <v>6</v>
      </c>
      <c r="C252" t="s">
        <v>21</v>
      </c>
      <c r="D252" t="s">
        <v>46</v>
      </c>
      <c r="E252">
        <v>73260</v>
      </c>
      <c r="F252" s="1" t="s">
        <v>1062</v>
      </c>
      <c r="G252" t="s">
        <v>38</v>
      </c>
      <c r="H252">
        <v>3</v>
      </c>
      <c r="I252" t="s">
        <v>35</v>
      </c>
      <c r="J252">
        <v>4</v>
      </c>
      <c r="K252" t="s">
        <v>26</v>
      </c>
      <c r="L252">
        <v>39</v>
      </c>
      <c r="M252" t="s">
        <v>27</v>
      </c>
      <c r="N252" t="s">
        <v>28</v>
      </c>
      <c r="O252">
        <v>2</v>
      </c>
      <c r="P252" t="s">
        <v>39</v>
      </c>
      <c r="Q252">
        <v>1</v>
      </c>
      <c r="R252" t="s">
        <v>30</v>
      </c>
      <c r="S252" t="s">
        <v>30</v>
      </c>
      <c r="T252" t="s">
        <v>31</v>
      </c>
    </row>
    <row r="253" spans="1:20" x14ac:dyDescent="0.35">
      <c r="A253" t="s">
        <v>311</v>
      </c>
      <c r="B253">
        <v>12</v>
      </c>
      <c r="C253" t="s">
        <v>33</v>
      </c>
      <c r="D253" t="s">
        <v>41</v>
      </c>
      <c r="E253">
        <v>247610</v>
      </c>
      <c r="F253" s="2" t="s">
        <v>1060</v>
      </c>
      <c r="G253" t="s">
        <v>34</v>
      </c>
      <c r="H253">
        <v>1</v>
      </c>
      <c r="I253" t="s">
        <v>35</v>
      </c>
      <c r="J253">
        <v>2</v>
      </c>
      <c r="K253" t="s">
        <v>52</v>
      </c>
      <c r="L253">
        <v>46</v>
      </c>
      <c r="M253" t="s">
        <v>27</v>
      </c>
      <c r="N253" t="s">
        <v>28</v>
      </c>
      <c r="O253">
        <v>1</v>
      </c>
      <c r="P253" t="s">
        <v>39</v>
      </c>
      <c r="Q253">
        <v>1</v>
      </c>
      <c r="R253" t="s">
        <v>27</v>
      </c>
      <c r="S253" t="s">
        <v>30</v>
      </c>
      <c r="T253" t="s">
        <v>31</v>
      </c>
    </row>
    <row r="254" spans="1:20" x14ac:dyDescent="0.35">
      <c r="A254" t="s">
        <v>312</v>
      </c>
      <c r="B254">
        <v>30</v>
      </c>
      <c r="C254" t="s">
        <v>33</v>
      </c>
      <c r="D254" t="s">
        <v>46</v>
      </c>
      <c r="E254">
        <v>236500</v>
      </c>
      <c r="F254" s="1" t="s">
        <v>1060</v>
      </c>
      <c r="G254" t="s">
        <v>34</v>
      </c>
      <c r="H254">
        <v>4</v>
      </c>
      <c r="I254" t="s">
        <v>35</v>
      </c>
      <c r="J254">
        <v>2</v>
      </c>
      <c r="K254" t="s">
        <v>47</v>
      </c>
      <c r="L254">
        <v>24</v>
      </c>
      <c r="M254" t="s">
        <v>69</v>
      </c>
      <c r="N254" t="s">
        <v>28</v>
      </c>
      <c r="O254">
        <v>1</v>
      </c>
      <c r="P254" t="s">
        <v>29</v>
      </c>
      <c r="Q254">
        <v>1</v>
      </c>
      <c r="R254" t="s">
        <v>27</v>
      </c>
      <c r="S254" t="s">
        <v>30</v>
      </c>
      <c r="T254" t="s">
        <v>31</v>
      </c>
    </row>
    <row r="255" spans="1:20" x14ac:dyDescent="0.35">
      <c r="A255" t="s">
        <v>313</v>
      </c>
      <c r="B255">
        <v>24</v>
      </c>
      <c r="C255" t="s">
        <v>45</v>
      </c>
      <c r="D255" t="s">
        <v>41</v>
      </c>
      <c r="E255">
        <v>456610</v>
      </c>
      <c r="F255" s="2" t="s">
        <v>1063</v>
      </c>
      <c r="G255" t="s">
        <v>34</v>
      </c>
      <c r="H255">
        <v>2</v>
      </c>
      <c r="I255" t="s">
        <v>25</v>
      </c>
      <c r="J255">
        <v>3</v>
      </c>
      <c r="K255" t="s">
        <v>42</v>
      </c>
      <c r="L255">
        <v>35</v>
      </c>
      <c r="M255" t="s">
        <v>27</v>
      </c>
      <c r="N255" t="s">
        <v>28</v>
      </c>
      <c r="O255">
        <v>2</v>
      </c>
      <c r="P255" t="s">
        <v>29</v>
      </c>
      <c r="Q255">
        <v>1</v>
      </c>
      <c r="R255" t="s">
        <v>27</v>
      </c>
      <c r="S255" t="s">
        <v>30</v>
      </c>
      <c r="T255" t="s">
        <v>31</v>
      </c>
    </row>
    <row r="256" spans="1:20" x14ac:dyDescent="0.35">
      <c r="A256" t="s">
        <v>314</v>
      </c>
      <c r="B256">
        <v>9</v>
      </c>
      <c r="C256" t="s">
        <v>33</v>
      </c>
      <c r="D256" t="s">
        <v>41</v>
      </c>
      <c r="E256">
        <v>223300</v>
      </c>
      <c r="F256" s="1" t="s">
        <v>23</v>
      </c>
      <c r="G256" t="s">
        <v>38</v>
      </c>
      <c r="H256">
        <v>2</v>
      </c>
      <c r="I256" t="s">
        <v>25</v>
      </c>
      <c r="J256">
        <v>1</v>
      </c>
      <c r="K256" t="s">
        <v>52</v>
      </c>
      <c r="L256">
        <v>24</v>
      </c>
      <c r="M256" t="s">
        <v>27</v>
      </c>
      <c r="N256" t="s">
        <v>28</v>
      </c>
      <c r="O256">
        <v>1</v>
      </c>
      <c r="P256" t="s">
        <v>29</v>
      </c>
      <c r="Q256">
        <v>1</v>
      </c>
      <c r="R256" t="s">
        <v>30</v>
      </c>
      <c r="S256" t="s">
        <v>30</v>
      </c>
      <c r="T256" t="s">
        <v>31</v>
      </c>
    </row>
    <row r="257" spans="1:20" x14ac:dyDescent="0.35">
      <c r="A257" t="s">
        <v>315</v>
      </c>
      <c r="B257">
        <v>60</v>
      </c>
      <c r="C257" t="s">
        <v>45</v>
      </c>
      <c r="D257" t="s">
        <v>22</v>
      </c>
      <c r="E257">
        <v>815980</v>
      </c>
      <c r="F257" s="2" t="s">
        <v>23</v>
      </c>
      <c r="G257" t="s">
        <v>34</v>
      </c>
      <c r="H257">
        <v>1</v>
      </c>
      <c r="I257" t="s">
        <v>25</v>
      </c>
      <c r="J257">
        <v>1</v>
      </c>
      <c r="K257" t="s">
        <v>26</v>
      </c>
      <c r="L257">
        <v>27</v>
      </c>
      <c r="M257" t="s">
        <v>27</v>
      </c>
      <c r="N257" t="s">
        <v>28</v>
      </c>
      <c r="O257">
        <v>1</v>
      </c>
      <c r="P257" t="s">
        <v>39</v>
      </c>
      <c r="Q257">
        <v>1</v>
      </c>
      <c r="R257" t="s">
        <v>27</v>
      </c>
      <c r="S257" t="s">
        <v>30</v>
      </c>
      <c r="T257" t="s">
        <v>31</v>
      </c>
    </row>
    <row r="258" spans="1:20" x14ac:dyDescent="0.35">
      <c r="A258" t="s">
        <v>316</v>
      </c>
      <c r="B258">
        <v>24</v>
      </c>
      <c r="C258" t="s">
        <v>21</v>
      </c>
      <c r="D258" t="s">
        <v>22</v>
      </c>
      <c r="E258">
        <v>295240</v>
      </c>
      <c r="F258" s="1" t="s">
        <v>1060</v>
      </c>
      <c r="G258" t="s">
        <v>34</v>
      </c>
      <c r="H258">
        <v>4</v>
      </c>
      <c r="I258" t="s">
        <v>25</v>
      </c>
      <c r="J258">
        <v>2</v>
      </c>
      <c r="K258" t="s">
        <v>26</v>
      </c>
      <c r="L258">
        <v>35</v>
      </c>
      <c r="M258" t="s">
        <v>27</v>
      </c>
      <c r="N258" t="s">
        <v>28</v>
      </c>
      <c r="O258">
        <v>2</v>
      </c>
      <c r="P258" t="s">
        <v>39</v>
      </c>
      <c r="Q258">
        <v>1</v>
      </c>
      <c r="R258" t="s">
        <v>27</v>
      </c>
      <c r="S258" t="s">
        <v>30</v>
      </c>
      <c r="T258" t="s">
        <v>31</v>
      </c>
    </row>
    <row r="259" spans="1:20" x14ac:dyDescent="0.35">
      <c r="A259" t="s">
        <v>317</v>
      </c>
      <c r="B259">
        <v>12</v>
      </c>
      <c r="C259" t="s">
        <v>81</v>
      </c>
      <c r="D259" t="s">
        <v>22</v>
      </c>
      <c r="E259">
        <v>236390</v>
      </c>
      <c r="F259" s="2" t="s">
        <v>1060</v>
      </c>
      <c r="G259" t="s">
        <v>34</v>
      </c>
      <c r="H259">
        <v>4</v>
      </c>
      <c r="I259" t="s">
        <v>25</v>
      </c>
      <c r="J259">
        <v>1</v>
      </c>
      <c r="K259" t="s">
        <v>47</v>
      </c>
      <c r="L259">
        <v>29</v>
      </c>
      <c r="M259" t="s">
        <v>27</v>
      </c>
      <c r="N259" t="s">
        <v>43</v>
      </c>
      <c r="O259">
        <v>1</v>
      </c>
      <c r="P259" t="s">
        <v>29</v>
      </c>
      <c r="Q259">
        <v>1</v>
      </c>
      <c r="R259" t="s">
        <v>27</v>
      </c>
      <c r="S259" t="s">
        <v>30</v>
      </c>
      <c r="T259" t="s">
        <v>31</v>
      </c>
    </row>
    <row r="260" spans="1:20" x14ac:dyDescent="0.35">
      <c r="A260" t="s">
        <v>318</v>
      </c>
      <c r="B260">
        <v>15</v>
      </c>
      <c r="C260" t="s">
        <v>33</v>
      </c>
      <c r="D260" t="s">
        <v>51</v>
      </c>
      <c r="E260">
        <v>419320</v>
      </c>
      <c r="F260" s="1" t="s">
        <v>1063</v>
      </c>
      <c r="G260" t="s">
        <v>59</v>
      </c>
      <c r="H260">
        <v>1</v>
      </c>
      <c r="I260" t="s">
        <v>35</v>
      </c>
      <c r="J260">
        <v>4</v>
      </c>
      <c r="K260" t="s">
        <v>52</v>
      </c>
      <c r="L260">
        <v>23</v>
      </c>
      <c r="M260" t="s">
        <v>27</v>
      </c>
      <c r="N260" t="s">
        <v>28</v>
      </c>
      <c r="O260">
        <v>1</v>
      </c>
      <c r="P260" t="s">
        <v>29</v>
      </c>
      <c r="Q260">
        <v>1</v>
      </c>
      <c r="R260" t="s">
        <v>30</v>
      </c>
      <c r="S260" t="s">
        <v>30</v>
      </c>
      <c r="T260" t="s">
        <v>31</v>
      </c>
    </row>
    <row r="261" spans="1:20" x14ac:dyDescent="0.35">
      <c r="A261" t="s">
        <v>319</v>
      </c>
      <c r="B261">
        <v>11</v>
      </c>
      <c r="C261" t="s">
        <v>21</v>
      </c>
      <c r="D261" t="s">
        <v>22</v>
      </c>
      <c r="E261">
        <v>126940</v>
      </c>
      <c r="F261" s="2" t="s">
        <v>1063</v>
      </c>
      <c r="G261" t="s">
        <v>57</v>
      </c>
      <c r="H261">
        <v>4</v>
      </c>
      <c r="I261" t="s">
        <v>35</v>
      </c>
      <c r="J261">
        <v>4</v>
      </c>
      <c r="K261" t="s">
        <v>26</v>
      </c>
      <c r="L261">
        <v>57</v>
      </c>
      <c r="M261" t="s">
        <v>27</v>
      </c>
      <c r="N261" t="s">
        <v>28</v>
      </c>
      <c r="O261">
        <v>3</v>
      </c>
      <c r="P261" t="s">
        <v>39</v>
      </c>
      <c r="Q261">
        <v>1</v>
      </c>
      <c r="R261" t="s">
        <v>27</v>
      </c>
      <c r="S261" t="s">
        <v>30</v>
      </c>
      <c r="T261" t="s">
        <v>31</v>
      </c>
    </row>
    <row r="262" spans="1:20" x14ac:dyDescent="0.35">
      <c r="A262" t="s">
        <v>320</v>
      </c>
      <c r="B262">
        <v>12</v>
      </c>
      <c r="C262" t="s">
        <v>33</v>
      </c>
      <c r="D262" t="s">
        <v>41</v>
      </c>
      <c r="E262">
        <v>182270</v>
      </c>
      <c r="F262" s="1" t="s">
        <v>1060</v>
      </c>
      <c r="G262" t="s">
        <v>34</v>
      </c>
      <c r="H262">
        <v>2</v>
      </c>
      <c r="I262" t="s">
        <v>25</v>
      </c>
      <c r="J262">
        <v>2</v>
      </c>
      <c r="K262" t="s">
        <v>26</v>
      </c>
      <c r="L262">
        <v>27</v>
      </c>
      <c r="M262" t="s">
        <v>27</v>
      </c>
      <c r="N262" t="s">
        <v>28</v>
      </c>
      <c r="O262">
        <v>1</v>
      </c>
      <c r="P262" t="s">
        <v>29</v>
      </c>
      <c r="Q262">
        <v>1</v>
      </c>
      <c r="R262" t="s">
        <v>27</v>
      </c>
      <c r="S262" t="s">
        <v>30</v>
      </c>
      <c r="T262" t="s">
        <v>31</v>
      </c>
    </row>
    <row r="263" spans="1:20" x14ac:dyDescent="0.35">
      <c r="A263" t="s">
        <v>321</v>
      </c>
      <c r="B263">
        <v>24</v>
      </c>
      <c r="C263" t="s">
        <v>33</v>
      </c>
      <c r="D263" t="s">
        <v>22</v>
      </c>
      <c r="E263">
        <v>176330</v>
      </c>
      <c r="F263" s="2" t="s">
        <v>1060</v>
      </c>
      <c r="G263" t="s">
        <v>24</v>
      </c>
      <c r="H263">
        <v>4</v>
      </c>
      <c r="I263" t="s">
        <v>35</v>
      </c>
      <c r="J263">
        <v>4</v>
      </c>
      <c r="K263" t="s">
        <v>52</v>
      </c>
      <c r="L263">
        <v>55</v>
      </c>
      <c r="M263" t="s">
        <v>27</v>
      </c>
      <c r="N263" t="s">
        <v>28</v>
      </c>
      <c r="O263">
        <v>1</v>
      </c>
      <c r="P263" t="s">
        <v>29</v>
      </c>
      <c r="Q263">
        <v>1</v>
      </c>
      <c r="R263" t="s">
        <v>27</v>
      </c>
      <c r="S263" t="s">
        <v>30</v>
      </c>
      <c r="T263" t="s">
        <v>31</v>
      </c>
    </row>
    <row r="264" spans="1:20" x14ac:dyDescent="0.35">
      <c r="A264" t="s">
        <v>322</v>
      </c>
      <c r="B264">
        <v>18</v>
      </c>
      <c r="C264" t="s">
        <v>21</v>
      </c>
      <c r="D264" t="s">
        <v>46</v>
      </c>
      <c r="E264">
        <v>583220</v>
      </c>
      <c r="F264" s="1" t="s">
        <v>1060</v>
      </c>
      <c r="G264" t="s">
        <v>24</v>
      </c>
      <c r="H264">
        <v>2</v>
      </c>
      <c r="I264" t="s">
        <v>25</v>
      </c>
      <c r="J264">
        <v>4</v>
      </c>
      <c r="K264" t="s">
        <v>47</v>
      </c>
      <c r="L264">
        <v>36</v>
      </c>
      <c r="M264" t="s">
        <v>27</v>
      </c>
      <c r="N264" t="s">
        <v>43</v>
      </c>
      <c r="O264">
        <v>3</v>
      </c>
      <c r="P264" t="s">
        <v>54</v>
      </c>
      <c r="Q264">
        <v>1</v>
      </c>
      <c r="R264" t="s">
        <v>30</v>
      </c>
      <c r="S264" t="s">
        <v>30</v>
      </c>
      <c r="T264" t="s">
        <v>31</v>
      </c>
    </row>
    <row r="265" spans="1:20" x14ac:dyDescent="0.35">
      <c r="A265" t="s">
        <v>323</v>
      </c>
      <c r="B265">
        <v>12</v>
      </c>
      <c r="C265" t="s">
        <v>21</v>
      </c>
      <c r="D265" t="s">
        <v>37</v>
      </c>
      <c r="E265">
        <v>302280</v>
      </c>
      <c r="F265" s="2" t="s">
        <v>1060</v>
      </c>
      <c r="G265" t="s">
        <v>24</v>
      </c>
      <c r="H265">
        <v>2</v>
      </c>
      <c r="I265" t="s">
        <v>35</v>
      </c>
      <c r="J265">
        <v>4</v>
      </c>
      <c r="K265" t="s">
        <v>47</v>
      </c>
      <c r="L265">
        <v>57</v>
      </c>
      <c r="M265" t="s">
        <v>69</v>
      </c>
      <c r="N265" t="s">
        <v>43</v>
      </c>
      <c r="O265">
        <v>3</v>
      </c>
      <c r="P265" t="s">
        <v>39</v>
      </c>
      <c r="Q265">
        <v>1</v>
      </c>
      <c r="R265" t="s">
        <v>27</v>
      </c>
      <c r="S265" t="s">
        <v>30</v>
      </c>
      <c r="T265" t="s">
        <v>31</v>
      </c>
    </row>
    <row r="266" spans="1:20" x14ac:dyDescent="0.35">
      <c r="A266" t="s">
        <v>324</v>
      </c>
      <c r="B266">
        <v>10</v>
      </c>
      <c r="C266" t="s">
        <v>21</v>
      </c>
      <c r="D266" t="s">
        <v>46</v>
      </c>
      <c r="E266">
        <v>135410</v>
      </c>
      <c r="F266" s="1" t="s">
        <v>1060</v>
      </c>
      <c r="G266" t="s">
        <v>24</v>
      </c>
      <c r="H266">
        <v>3</v>
      </c>
      <c r="I266" t="s">
        <v>25</v>
      </c>
      <c r="J266">
        <v>4</v>
      </c>
      <c r="K266" t="s">
        <v>26</v>
      </c>
      <c r="L266">
        <v>32</v>
      </c>
      <c r="M266" t="s">
        <v>27</v>
      </c>
      <c r="N266" t="s">
        <v>28</v>
      </c>
      <c r="O266">
        <v>2</v>
      </c>
      <c r="P266" t="s">
        <v>39</v>
      </c>
      <c r="Q266">
        <v>2</v>
      </c>
      <c r="R266" t="s">
        <v>27</v>
      </c>
      <c r="S266" t="s">
        <v>75</v>
      </c>
      <c r="T266" t="s">
        <v>31</v>
      </c>
    </row>
    <row r="267" spans="1:20" x14ac:dyDescent="0.35">
      <c r="A267" t="s">
        <v>325</v>
      </c>
      <c r="B267">
        <v>15</v>
      </c>
      <c r="C267" t="s">
        <v>33</v>
      </c>
      <c r="D267" t="s">
        <v>22</v>
      </c>
      <c r="E267">
        <v>88220</v>
      </c>
      <c r="F267" s="2" t="s">
        <v>1060</v>
      </c>
      <c r="G267" t="s">
        <v>24</v>
      </c>
      <c r="H267">
        <v>4</v>
      </c>
      <c r="I267" t="s">
        <v>25</v>
      </c>
      <c r="J267">
        <v>3</v>
      </c>
      <c r="K267" t="s">
        <v>52</v>
      </c>
      <c r="L267">
        <v>37</v>
      </c>
      <c r="M267" t="s">
        <v>27</v>
      </c>
      <c r="N267" t="s">
        <v>28</v>
      </c>
      <c r="O267">
        <v>1</v>
      </c>
      <c r="P267" t="s">
        <v>29</v>
      </c>
      <c r="Q267">
        <v>2</v>
      </c>
      <c r="R267" t="s">
        <v>27</v>
      </c>
      <c r="S267" t="s">
        <v>30</v>
      </c>
      <c r="T267" t="s">
        <v>31</v>
      </c>
    </row>
    <row r="268" spans="1:20" x14ac:dyDescent="0.35">
      <c r="A268" t="s">
        <v>326</v>
      </c>
      <c r="B268">
        <v>36</v>
      </c>
      <c r="C268" t="s">
        <v>21</v>
      </c>
      <c r="D268" t="s">
        <v>61</v>
      </c>
      <c r="E268">
        <v>693440</v>
      </c>
      <c r="F268" s="1" t="s">
        <v>23</v>
      </c>
      <c r="G268" t="s">
        <v>24</v>
      </c>
      <c r="H268">
        <v>4</v>
      </c>
      <c r="I268" t="s">
        <v>25</v>
      </c>
      <c r="J268">
        <v>4</v>
      </c>
      <c r="K268" t="s">
        <v>26</v>
      </c>
      <c r="L268">
        <v>36</v>
      </c>
      <c r="M268" t="s">
        <v>27</v>
      </c>
      <c r="N268" t="s">
        <v>28</v>
      </c>
      <c r="O268">
        <v>2</v>
      </c>
      <c r="P268" t="s">
        <v>29</v>
      </c>
      <c r="Q268">
        <v>1</v>
      </c>
      <c r="R268" t="s">
        <v>27</v>
      </c>
      <c r="S268" t="s">
        <v>30</v>
      </c>
      <c r="T268" t="s">
        <v>31</v>
      </c>
    </row>
    <row r="269" spans="1:20" x14ac:dyDescent="0.35">
      <c r="A269" t="s">
        <v>327</v>
      </c>
      <c r="B269">
        <v>24</v>
      </c>
      <c r="C269" t="s">
        <v>33</v>
      </c>
      <c r="D269" t="s">
        <v>22</v>
      </c>
      <c r="E269">
        <v>168630</v>
      </c>
      <c r="F269" s="2" t="s">
        <v>1060</v>
      </c>
      <c r="G269" t="s">
        <v>59</v>
      </c>
      <c r="H269">
        <v>4</v>
      </c>
      <c r="I269" t="s">
        <v>35</v>
      </c>
      <c r="J269">
        <v>3</v>
      </c>
      <c r="K269" t="s">
        <v>52</v>
      </c>
      <c r="L269">
        <v>38</v>
      </c>
      <c r="M269" t="s">
        <v>86</v>
      </c>
      <c r="N269" t="s">
        <v>28</v>
      </c>
      <c r="O269">
        <v>1</v>
      </c>
      <c r="P269" t="s">
        <v>29</v>
      </c>
      <c r="Q269">
        <v>1</v>
      </c>
      <c r="R269" t="s">
        <v>30</v>
      </c>
      <c r="S269" t="s">
        <v>30</v>
      </c>
      <c r="T269" t="s">
        <v>31</v>
      </c>
    </row>
    <row r="270" spans="1:20" x14ac:dyDescent="0.35">
      <c r="A270" t="s">
        <v>328</v>
      </c>
      <c r="B270">
        <v>14</v>
      </c>
      <c r="C270" t="s">
        <v>33</v>
      </c>
      <c r="D270" t="s">
        <v>46</v>
      </c>
      <c r="E270">
        <v>987580</v>
      </c>
      <c r="F270" s="1" t="s">
        <v>1060</v>
      </c>
      <c r="G270" t="s">
        <v>24</v>
      </c>
      <c r="H270">
        <v>1</v>
      </c>
      <c r="I270" t="s">
        <v>25</v>
      </c>
      <c r="J270">
        <v>4</v>
      </c>
      <c r="K270" t="s">
        <v>42</v>
      </c>
      <c r="L270">
        <v>45</v>
      </c>
      <c r="M270" t="s">
        <v>27</v>
      </c>
      <c r="N270" t="s">
        <v>28</v>
      </c>
      <c r="O270">
        <v>1</v>
      </c>
      <c r="P270" t="s">
        <v>54</v>
      </c>
      <c r="Q270">
        <v>1</v>
      </c>
      <c r="R270" t="s">
        <v>30</v>
      </c>
      <c r="S270" t="s">
        <v>75</v>
      </c>
      <c r="T270" t="s">
        <v>31</v>
      </c>
    </row>
    <row r="271" spans="1:20" x14ac:dyDescent="0.35">
      <c r="A271" t="s">
        <v>329</v>
      </c>
      <c r="B271">
        <v>24</v>
      </c>
      <c r="C271" t="s">
        <v>33</v>
      </c>
      <c r="D271" t="s">
        <v>22</v>
      </c>
      <c r="E271">
        <v>109890</v>
      </c>
      <c r="F271" s="2" t="s">
        <v>23</v>
      </c>
      <c r="G271" t="s">
        <v>24</v>
      </c>
      <c r="H271">
        <v>4</v>
      </c>
      <c r="I271" t="s">
        <v>25</v>
      </c>
      <c r="J271">
        <v>2</v>
      </c>
      <c r="K271" t="s">
        <v>52</v>
      </c>
      <c r="L271">
        <v>25</v>
      </c>
      <c r="M271" t="s">
        <v>27</v>
      </c>
      <c r="N271" t="s">
        <v>28</v>
      </c>
      <c r="O271">
        <v>2</v>
      </c>
      <c r="P271" t="s">
        <v>29</v>
      </c>
      <c r="Q271">
        <v>1</v>
      </c>
      <c r="R271" t="s">
        <v>27</v>
      </c>
      <c r="S271" t="s">
        <v>30</v>
      </c>
      <c r="T271" t="s">
        <v>31</v>
      </c>
    </row>
    <row r="272" spans="1:20" x14ac:dyDescent="0.35">
      <c r="A272" t="s">
        <v>330</v>
      </c>
      <c r="B272">
        <v>18</v>
      </c>
      <c r="C272" t="s">
        <v>33</v>
      </c>
      <c r="D272" t="s">
        <v>46</v>
      </c>
      <c r="E272">
        <v>292820</v>
      </c>
      <c r="F272" s="1" t="s">
        <v>23</v>
      </c>
      <c r="G272" t="s">
        <v>38</v>
      </c>
      <c r="H272">
        <v>4</v>
      </c>
      <c r="I272" t="s">
        <v>25</v>
      </c>
      <c r="J272">
        <v>3</v>
      </c>
      <c r="K272" t="s">
        <v>42</v>
      </c>
      <c r="L272">
        <v>32</v>
      </c>
      <c r="M272" t="s">
        <v>27</v>
      </c>
      <c r="N272" t="s">
        <v>28</v>
      </c>
      <c r="O272">
        <v>1</v>
      </c>
      <c r="P272" t="s">
        <v>29</v>
      </c>
      <c r="Q272">
        <v>1</v>
      </c>
      <c r="R272" t="s">
        <v>27</v>
      </c>
      <c r="S272" t="s">
        <v>75</v>
      </c>
      <c r="T272" t="s">
        <v>31</v>
      </c>
    </row>
    <row r="273" spans="1:20" x14ac:dyDescent="0.35">
      <c r="A273" t="s">
        <v>331</v>
      </c>
      <c r="B273">
        <v>12</v>
      </c>
      <c r="C273" t="s">
        <v>21</v>
      </c>
      <c r="D273" t="s">
        <v>41</v>
      </c>
      <c r="E273">
        <v>154220</v>
      </c>
      <c r="F273" s="2" t="s">
        <v>1061</v>
      </c>
      <c r="G273" t="s">
        <v>38</v>
      </c>
      <c r="H273">
        <v>3</v>
      </c>
      <c r="I273" t="s">
        <v>35</v>
      </c>
      <c r="J273">
        <v>4</v>
      </c>
      <c r="K273" t="s">
        <v>52</v>
      </c>
      <c r="L273">
        <v>37</v>
      </c>
      <c r="M273" t="s">
        <v>27</v>
      </c>
      <c r="N273" t="s">
        <v>53</v>
      </c>
      <c r="O273">
        <v>1</v>
      </c>
      <c r="P273" t="s">
        <v>29</v>
      </c>
      <c r="Q273">
        <v>1</v>
      </c>
      <c r="R273" t="s">
        <v>30</v>
      </c>
      <c r="S273" t="s">
        <v>30</v>
      </c>
      <c r="T273" t="s">
        <v>31</v>
      </c>
    </row>
    <row r="274" spans="1:20" x14ac:dyDescent="0.35">
      <c r="A274" t="s">
        <v>332</v>
      </c>
      <c r="B274">
        <v>48</v>
      </c>
      <c r="C274" t="s">
        <v>81</v>
      </c>
      <c r="D274" t="s">
        <v>46</v>
      </c>
      <c r="E274">
        <v>1338590</v>
      </c>
      <c r="F274" s="1" t="s">
        <v>23</v>
      </c>
      <c r="G274" t="s">
        <v>57</v>
      </c>
      <c r="H274">
        <v>4</v>
      </c>
      <c r="I274" t="s">
        <v>25</v>
      </c>
      <c r="J274">
        <v>4</v>
      </c>
      <c r="K274" t="s">
        <v>47</v>
      </c>
      <c r="L274">
        <v>36</v>
      </c>
      <c r="M274" t="s">
        <v>27</v>
      </c>
      <c r="N274" t="s">
        <v>43</v>
      </c>
      <c r="O274">
        <v>1</v>
      </c>
      <c r="P274" t="s">
        <v>54</v>
      </c>
      <c r="Q274">
        <v>1</v>
      </c>
      <c r="R274" t="s">
        <v>30</v>
      </c>
      <c r="S274" t="s">
        <v>30</v>
      </c>
      <c r="T274" t="s">
        <v>31</v>
      </c>
    </row>
    <row r="275" spans="1:20" x14ac:dyDescent="0.35">
      <c r="A275" t="s">
        <v>333</v>
      </c>
      <c r="B275">
        <v>48</v>
      </c>
      <c r="C275" t="s">
        <v>33</v>
      </c>
      <c r="D275" t="s">
        <v>22</v>
      </c>
      <c r="E275">
        <v>336600</v>
      </c>
      <c r="F275" s="2" t="s">
        <v>1060</v>
      </c>
      <c r="G275" t="s">
        <v>38</v>
      </c>
      <c r="H275">
        <v>4</v>
      </c>
      <c r="I275" t="s">
        <v>25</v>
      </c>
      <c r="J275">
        <v>4</v>
      </c>
      <c r="K275" t="s">
        <v>26</v>
      </c>
      <c r="L275">
        <v>28</v>
      </c>
      <c r="M275" t="s">
        <v>27</v>
      </c>
      <c r="N275" t="s">
        <v>28</v>
      </c>
      <c r="O275">
        <v>2</v>
      </c>
      <c r="P275" t="s">
        <v>29</v>
      </c>
      <c r="Q275">
        <v>1</v>
      </c>
      <c r="R275" t="s">
        <v>27</v>
      </c>
      <c r="S275" t="s">
        <v>30</v>
      </c>
      <c r="T275" t="s">
        <v>31</v>
      </c>
    </row>
    <row r="276" spans="1:20" x14ac:dyDescent="0.35">
      <c r="A276" t="s">
        <v>334</v>
      </c>
      <c r="B276">
        <v>30</v>
      </c>
      <c r="C276" t="s">
        <v>33</v>
      </c>
      <c r="D276" t="s">
        <v>99</v>
      </c>
      <c r="E276">
        <v>1319780</v>
      </c>
      <c r="F276" s="1" t="s">
        <v>1060</v>
      </c>
      <c r="G276" t="s">
        <v>59</v>
      </c>
      <c r="H276">
        <v>1</v>
      </c>
      <c r="I276" t="s">
        <v>25</v>
      </c>
      <c r="J276">
        <v>1</v>
      </c>
      <c r="K276" t="s">
        <v>47</v>
      </c>
      <c r="L276">
        <v>34</v>
      </c>
      <c r="M276" t="s">
        <v>27</v>
      </c>
      <c r="N276" t="s">
        <v>28</v>
      </c>
      <c r="O276">
        <v>1</v>
      </c>
      <c r="P276" t="s">
        <v>39</v>
      </c>
      <c r="Q276">
        <v>1</v>
      </c>
      <c r="R276" t="s">
        <v>30</v>
      </c>
      <c r="S276" t="s">
        <v>30</v>
      </c>
      <c r="T276" t="s">
        <v>31</v>
      </c>
    </row>
    <row r="277" spans="1:20" x14ac:dyDescent="0.35">
      <c r="A277" t="s">
        <v>335</v>
      </c>
      <c r="B277">
        <v>9</v>
      </c>
      <c r="C277" t="s">
        <v>33</v>
      </c>
      <c r="D277" t="s">
        <v>22</v>
      </c>
      <c r="E277">
        <v>296670</v>
      </c>
      <c r="F277" s="2" t="s">
        <v>1060</v>
      </c>
      <c r="G277" t="s">
        <v>34</v>
      </c>
      <c r="H277">
        <v>1</v>
      </c>
      <c r="I277" t="s">
        <v>25</v>
      </c>
      <c r="J277">
        <v>2</v>
      </c>
      <c r="K277" t="s">
        <v>26</v>
      </c>
      <c r="L277">
        <v>32</v>
      </c>
      <c r="M277" t="s">
        <v>27</v>
      </c>
      <c r="N277" t="s">
        <v>28</v>
      </c>
      <c r="O277">
        <v>1</v>
      </c>
      <c r="P277" t="s">
        <v>29</v>
      </c>
      <c r="Q277">
        <v>2</v>
      </c>
      <c r="R277" t="s">
        <v>27</v>
      </c>
      <c r="S277" t="s">
        <v>30</v>
      </c>
      <c r="T277" t="s">
        <v>31</v>
      </c>
    </row>
    <row r="278" spans="1:20" x14ac:dyDescent="0.35">
      <c r="A278" t="s">
        <v>336</v>
      </c>
      <c r="B278">
        <v>18</v>
      </c>
      <c r="C278" t="s">
        <v>21</v>
      </c>
      <c r="D278" t="s">
        <v>22</v>
      </c>
      <c r="E278">
        <v>264440</v>
      </c>
      <c r="F278" s="1" t="s">
        <v>1060</v>
      </c>
      <c r="G278" t="s">
        <v>34</v>
      </c>
      <c r="H278">
        <v>2</v>
      </c>
      <c r="I278" t="s">
        <v>35</v>
      </c>
      <c r="J278">
        <v>2</v>
      </c>
      <c r="K278" t="s">
        <v>52</v>
      </c>
      <c r="L278">
        <v>26</v>
      </c>
      <c r="M278" t="s">
        <v>27</v>
      </c>
      <c r="N278" t="s">
        <v>28</v>
      </c>
      <c r="O278">
        <v>2</v>
      </c>
      <c r="P278" t="s">
        <v>29</v>
      </c>
      <c r="Q278">
        <v>1</v>
      </c>
      <c r="R278" t="s">
        <v>27</v>
      </c>
      <c r="S278" t="s">
        <v>30</v>
      </c>
      <c r="T278" t="s">
        <v>31</v>
      </c>
    </row>
    <row r="279" spans="1:20" x14ac:dyDescent="0.35">
      <c r="A279" t="s">
        <v>337</v>
      </c>
      <c r="B279">
        <v>12</v>
      </c>
      <c r="C279" t="s">
        <v>33</v>
      </c>
      <c r="D279" t="s">
        <v>41</v>
      </c>
      <c r="E279">
        <v>138820</v>
      </c>
      <c r="F279" s="2" t="s">
        <v>23</v>
      </c>
      <c r="G279" t="s">
        <v>24</v>
      </c>
      <c r="H279">
        <v>2</v>
      </c>
      <c r="I279" t="s">
        <v>25</v>
      </c>
      <c r="J279">
        <v>4</v>
      </c>
      <c r="K279" t="s">
        <v>42</v>
      </c>
      <c r="L279">
        <v>49</v>
      </c>
      <c r="M279" t="s">
        <v>27</v>
      </c>
      <c r="N279" t="s">
        <v>28</v>
      </c>
      <c r="O279">
        <v>1</v>
      </c>
      <c r="P279" t="s">
        <v>39</v>
      </c>
      <c r="Q279">
        <v>1</v>
      </c>
      <c r="R279" t="s">
        <v>30</v>
      </c>
      <c r="S279" t="s">
        <v>30</v>
      </c>
      <c r="T279" t="s">
        <v>31</v>
      </c>
    </row>
    <row r="280" spans="1:20" x14ac:dyDescent="0.35">
      <c r="A280" t="s">
        <v>338</v>
      </c>
      <c r="B280">
        <v>6</v>
      </c>
      <c r="C280" t="s">
        <v>33</v>
      </c>
      <c r="D280" t="s">
        <v>41</v>
      </c>
      <c r="E280">
        <v>507210</v>
      </c>
      <c r="F280" s="1" t="s">
        <v>1060</v>
      </c>
      <c r="G280" t="s">
        <v>59</v>
      </c>
      <c r="H280">
        <v>1</v>
      </c>
      <c r="I280" t="s">
        <v>35</v>
      </c>
      <c r="J280">
        <v>4</v>
      </c>
      <c r="K280" t="s">
        <v>42</v>
      </c>
      <c r="L280">
        <v>32</v>
      </c>
      <c r="M280" t="s">
        <v>27</v>
      </c>
      <c r="N280" t="s">
        <v>28</v>
      </c>
      <c r="O280">
        <v>1</v>
      </c>
      <c r="P280" t="s">
        <v>29</v>
      </c>
      <c r="Q280">
        <v>1</v>
      </c>
      <c r="R280" t="s">
        <v>27</v>
      </c>
      <c r="S280" t="s">
        <v>30</v>
      </c>
      <c r="T280" t="s">
        <v>31</v>
      </c>
    </row>
    <row r="281" spans="1:20" x14ac:dyDescent="0.35">
      <c r="A281" t="s">
        <v>339</v>
      </c>
      <c r="B281">
        <v>24</v>
      </c>
      <c r="C281" t="s">
        <v>33</v>
      </c>
      <c r="D281" t="s">
        <v>22</v>
      </c>
      <c r="E281">
        <v>209110</v>
      </c>
      <c r="F281" s="2" t="s">
        <v>1063</v>
      </c>
      <c r="G281" t="s">
        <v>34</v>
      </c>
      <c r="H281">
        <v>4</v>
      </c>
      <c r="I281" t="s">
        <v>25</v>
      </c>
      <c r="J281">
        <v>4</v>
      </c>
      <c r="K281" t="s">
        <v>52</v>
      </c>
      <c r="L281">
        <v>29</v>
      </c>
      <c r="M281" t="s">
        <v>27</v>
      </c>
      <c r="N281" t="s">
        <v>53</v>
      </c>
      <c r="O281">
        <v>1</v>
      </c>
      <c r="P281" t="s">
        <v>54</v>
      </c>
      <c r="Q281">
        <v>1</v>
      </c>
      <c r="R281" t="s">
        <v>30</v>
      </c>
      <c r="S281" t="s">
        <v>30</v>
      </c>
      <c r="T281" t="s">
        <v>31</v>
      </c>
    </row>
    <row r="282" spans="1:20" x14ac:dyDescent="0.35">
      <c r="A282" t="s">
        <v>340</v>
      </c>
      <c r="B282">
        <v>15</v>
      </c>
      <c r="C282" t="s">
        <v>21</v>
      </c>
      <c r="D282" t="s">
        <v>51</v>
      </c>
      <c r="E282">
        <v>370480</v>
      </c>
      <c r="F282" s="1" t="s">
        <v>1062</v>
      </c>
      <c r="G282" t="s">
        <v>24</v>
      </c>
      <c r="H282">
        <v>3</v>
      </c>
      <c r="I282" t="s">
        <v>25</v>
      </c>
      <c r="J282">
        <v>4</v>
      </c>
      <c r="K282" t="s">
        <v>47</v>
      </c>
      <c r="L282">
        <v>23</v>
      </c>
      <c r="M282" t="s">
        <v>27</v>
      </c>
      <c r="N282" t="s">
        <v>53</v>
      </c>
      <c r="O282">
        <v>2</v>
      </c>
      <c r="P282" t="s">
        <v>29</v>
      </c>
      <c r="Q282">
        <v>1</v>
      </c>
      <c r="R282" t="s">
        <v>30</v>
      </c>
      <c r="S282" t="s">
        <v>30</v>
      </c>
      <c r="T282" t="s">
        <v>31</v>
      </c>
    </row>
    <row r="283" spans="1:20" x14ac:dyDescent="0.35">
      <c r="A283" t="s">
        <v>341</v>
      </c>
      <c r="B283">
        <v>12</v>
      </c>
      <c r="C283" t="s">
        <v>33</v>
      </c>
      <c r="D283" t="s">
        <v>41</v>
      </c>
      <c r="E283">
        <v>173140</v>
      </c>
      <c r="F283" s="2" t="s">
        <v>1060</v>
      </c>
      <c r="G283" t="s">
        <v>34</v>
      </c>
      <c r="H283">
        <v>4</v>
      </c>
      <c r="I283" t="s">
        <v>25</v>
      </c>
      <c r="J283">
        <v>2</v>
      </c>
      <c r="K283" t="s">
        <v>26</v>
      </c>
      <c r="L283">
        <v>50</v>
      </c>
      <c r="M283" t="s">
        <v>27</v>
      </c>
      <c r="N283" t="s">
        <v>28</v>
      </c>
      <c r="O283">
        <v>1</v>
      </c>
      <c r="P283" t="s">
        <v>29</v>
      </c>
      <c r="Q283">
        <v>1</v>
      </c>
      <c r="R283" t="s">
        <v>27</v>
      </c>
      <c r="S283" t="s">
        <v>30</v>
      </c>
      <c r="T283" t="s">
        <v>31</v>
      </c>
    </row>
    <row r="284" spans="1:20" x14ac:dyDescent="0.35">
      <c r="A284" t="s">
        <v>342</v>
      </c>
      <c r="B284">
        <v>18</v>
      </c>
      <c r="C284" t="s">
        <v>81</v>
      </c>
      <c r="D284" t="s">
        <v>22</v>
      </c>
      <c r="E284">
        <v>158950</v>
      </c>
      <c r="F284" s="1" t="s">
        <v>23</v>
      </c>
      <c r="G284" t="s">
        <v>38</v>
      </c>
      <c r="H284">
        <v>4</v>
      </c>
      <c r="I284" t="s">
        <v>25</v>
      </c>
      <c r="J284">
        <v>4</v>
      </c>
      <c r="K284" t="s">
        <v>52</v>
      </c>
      <c r="L284">
        <v>49</v>
      </c>
      <c r="M284" t="s">
        <v>69</v>
      </c>
      <c r="N284" t="s">
        <v>28</v>
      </c>
      <c r="O284">
        <v>1</v>
      </c>
      <c r="P284" t="s">
        <v>39</v>
      </c>
      <c r="Q284">
        <v>1</v>
      </c>
      <c r="R284" t="s">
        <v>27</v>
      </c>
      <c r="S284" t="s">
        <v>30</v>
      </c>
      <c r="T284" t="s">
        <v>31</v>
      </c>
    </row>
    <row r="285" spans="1:20" x14ac:dyDescent="0.35">
      <c r="A285" t="s">
        <v>343</v>
      </c>
      <c r="B285">
        <v>15</v>
      </c>
      <c r="C285" t="s">
        <v>21</v>
      </c>
      <c r="D285" t="s">
        <v>41</v>
      </c>
      <c r="E285">
        <v>167200</v>
      </c>
      <c r="F285" s="2" t="s">
        <v>23</v>
      </c>
      <c r="G285" t="s">
        <v>24</v>
      </c>
      <c r="H285">
        <v>4</v>
      </c>
      <c r="I285" t="s">
        <v>25</v>
      </c>
      <c r="J285">
        <v>4</v>
      </c>
      <c r="K285" t="s">
        <v>42</v>
      </c>
      <c r="L285">
        <v>63</v>
      </c>
      <c r="M285" t="s">
        <v>27</v>
      </c>
      <c r="N285" t="s">
        <v>28</v>
      </c>
      <c r="O285">
        <v>1</v>
      </c>
      <c r="P285" t="s">
        <v>29</v>
      </c>
      <c r="Q285">
        <v>1</v>
      </c>
      <c r="R285" t="s">
        <v>27</v>
      </c>
      <c r="S285" t="s">
        <v>30</v>
      </c>
      <c r="T285" t="s">
        <v>31</v>
      </c>
    </row>
    <row r="286" spans="1:20" x14ac:dyDescent="0.35">
      <c r="A286" t="s">
        <v>344</v>
      </c>
      <c r="B286">
        <v>24</v>
      </c>
      <c r="C286" t="s">
        <v>21</v>
      </c>
      <c r="D286" t="s">
        <v>46</v>
      </c>
      <c r="E286">
        <v>426580</v>
      </c>
      <c r="F286" s="1" t="s">
        <v>1063</v>
      </c>
      <c r="G286" t="s">
        <v>59</v>
      </c>
      <c r="H286">
        <v>4</v>
      </c>
      <c r="I286" t="s">
        <v>25</v>
      </c>
      <c r="J286">
        <v>2</v>
      </c>
      <c r="K286" t="s">
        <v>52</v>
      </c>
      <c r="L286">
        <v>37</v>
      </c>
      <c r="M286" t="s">
        <v>27</v>
      </c>
      <c r="N286" t="s">
        <v>28</v>
      </c>
      <c r="O286">
        <v>1</v>
      </c>
      <c r="P286" t="s">
        <v>29</v>
      </c>
      <c r="Q286">
        <v>1</v>
      </c>
      <c r="R286" t="s">
        <v>30</v>
      </c>
      <c r="S286" t="s">
        <v>30</v>
      </c>
      <c r="T286" t="s">
        <v>31</v>
      </c>
    </row>
    <row r="287" spans="1:20" x14ac:dyDescent="0.35">
      <c r="A287" t="s">
        <v>345</v>
      </c>
      <c r="B287">
        <v>47</v>
      </c>
      <c r="C287" t="s">
        <v>33</v>
      </c>
      <c r="D287" t="s">
        <v>46</v>
      </c>
      <c r="E287">
        <v>1179420</v>
      </c>
      <c r="F287" s="2" t="s">
        <v>1060</v>
      </c>
      <c r="G287" t="s">
        <v>59</v>
      </c>
      <c r="H287">
        <v>1</v>
      </c>
      <c r="I287" t="s">
        <v>35</v>
      </c>
      <c r="J287">
        <v>1</v>
      </c>
      <c r="K287" t="s">
        <v>26</v>
      </c>
      <c r="L287">
        <v>35</v>
      </c>
      <c r="M287" t="s">
        <v>27</v>
      </c>
      <c r="N287" t="s">
        <v>28</v>
      </c>
      <c r="O287">
        <v>1</v>
      </c>
      <c r="P287" t="s">
        <v>39</v>
      </c>
      <c r="Q287">
        <v>1</v>
      </c>
      <c r="R287" t="s">
        <v>30</v>
      </c>
      <c r="S287" t="s">
        <v>30</v>
      </c>
      <c r="T287" t="s">
        <v>31</v>
      </c>
    </row>
    <row r="288" spans="1:20" x14ac:dyDescent="0.35">
      <c r="A288" t="s">
        <v>346</v>
      </c>
      <c r="B288">
        <v>48</v>
      </c>
      <c r="C288" t="s">
        <v>33</v>
      </c>
      <c r="D288" t="s">
        <v>51</v>
      </c>
      <c r="E288">
        <v>526680</v>
      </c>
      <c r="F288" s="1" t="s">
        <v>1060</v>
      </c>
      <c r="G288" t="s">
        <v>38</v>
      </c>
      <c r="H288">
        <v>4</v>
      </c>
      <c r="I288" t="s">
        <v>25</v>
      </c>
      <c r="J288">
        <v>3</v>
      </c>
      <c r="K288" t="s">
        <v>42</v>
      </c>
      <c r="L288">
        <v>26</v>
      </c>
      <c r="M288" t="s">
        <v>27</v>
      </c>
      <c r="N288" t="s">
        <v>28</v>
      </c>
      <c r="O288">
        <v>1</v>
      </c>
      <c r="P288" t="s">
        <v>29</v>
      </c>
      <c r="Q288">
        <v>2</v>
      </c>
      <c r="R288" t="s">
        <v>27</v>
      </c>
      <c r="S288" t="s">
        <v>30</v>
      </c>
      <c r="T288" t="s">
        <v>31</v>
      </c>
    </row>
    <row r="289" spans="1:20" x14ac:dyDescent="0.35">
      <c r="A289" t="s">
        <v>347</v>
      </c>
      <c r="B289">
        <v>48</v>
      </c>
      <c r="C289" t="s">
        <v>45</v>
      </c>
      <c r="D289" t="s">
        <v>131</v>
      </c>
      <c r="E289">
        <v>834020</v>
      </c>
      <c r="F289" s="2" t="s">
        <v>1063</v>
      </c>
      <c r="G289" t="s">
        <v>57</v>
      </c>
      <c r="H289">
        <v>2</v>
      </c>
      <c r="I289" t="s">
        <v>25</v>
      </c>
      <c r="J289">
        <v>4</v>
      </c>
      <c r="K289" t="s">
        <v>47</v>
      </c>
      <c r="L289">
        <v>31</v>
      </c>
      <c r="M289" t="s">
        <v>27</v>
      </c>
      <c r="N289" t="s">
        <v>43</v>
      </c>
      <c r="O289">
        <v>1</v>
      </c>
      <c r="P289" t="s">
        <v>54</v>
      </c>
      <c r="Q289">
        <v>1</v>
      </c>
      <c r="R289" t="s">
        <v>30</v>
      </c>
      <c r="S289" t="s">
        <v>30</v>
      </c>
      <c r="T289" t="s">
        <v>31</v>
      </c>
    </row>
    <row r="290" spans="1:20" x14ac:dyDescent="0.35">
      <c r="A290" t="s">
        <v>348</v>
      </c>
      <c r="B290">
        <v>12</v>
      </c>
      <c r="C290" t="s">
        <v>33</v>
      </c>
      <c r="D290" t="s">
        <v>22</v>
      </c>
      <c r="E290">
        <v>120120</v>
      </c>
      <c r="F290" s="1" t="s">
        <v>1060</v>
      </c>
      <c r="G290" t="s">
        <v>34</v>
      </c>
      <c r="H290">
        <v>4</v>
      </c>
      <c r="I290" t="s">
        <v>35</v>
      </c>
      <c r="J290">
        <v>4</v>
      </c>
      <c r="K290" t="s">
        <v>26</v>
      </c>
      <c r="L290">
        <v>49</v>
      </c>
      <c r="M290" t="s">
        <v>27</v>
      </c>
      <c r="N290" t="s">
        <v>28</v>
      </c>
      <c r="O290">
        <v>2</v>
      </c>
      <c r="P290" t="s">
        <v>29</v>
      </c>
      <c r="Q290">
        <v>1</v>
      </c>
      <c r="R290" t="s">
        <v>30</v>
      </c>
      <c r="S290" t="s">
        <v>30</v>
      </c>
      <c r="T290" t="s">
        <v>31</v>
      </c>
    </row>
    <row r="291" spans="1:20" x14ac:dyDescent="0.35">
      <c r="A291" t="s">
        <v>349</v>
      </c>
      <c r="B291">
        <v>24</v>
      </c>
      <c r="C291" t="s">
        <v>45</v>
      </c>
      <c r="D291" t="s">
        <v>22</v>
      </c>
      <c r="E291">
        <v>112640</v>
      </c>
      <c r="F291" s="2" t="s">
        <v>1060</v>
      </c>
      <c r="G291" t="s">
        <v>59</v>
      </c>
      <c r="H291">
        <v>4</v>
      </c>
      <c r="I291" t="s">
        <v>25</v>
      </c>
      <c r="J291">
        <v>4</v>
      </c>
      <c r="K291" t="s">
        <v>26</v>
      </c>
      <c r="L291">
        <v>48</v>
      </c>
      <c r="M291" t="s">
        <v>86</v>
      </c>
      <c r="N291" t="s">
        <v>28</v>
      </c>
      <c r="O291">
        <v>1</v>
      </c>
      <c r="P291" t="s">
        <v>29</v>
      </c>
      <c r="Q291">
        <v>1</v>
      </c>
      <c r="R291" t="s">
        <v>27</v>
      </c>
      <c r="S291" t="s">
        <v>30</v>
      </c>
      <c r="T291" t="s">
        <v>31</v>
      </c>
    </row>
    <row r="292" spans="1:20" x14ac:dyDescent="0.35">
      <c r="A292" t="s">
        <v>350</v>
      </c>
      <c r="B292">
        <v>12</v>
      </c>
      <c r="C292" t="s">
        <v>33</v>
      </c>
      <c r="D292" t="s">
        <v>61</v>
      </c>
      <c r="E292">
        <v>118360</v>
      </c>
      <c r="F292" s="1" t="s">
        <v>1060</v>
      </c>
      <c r="G292" t="s">
        <v>34</v>
      </c>
      <c r="H292">
        <v>2</v>
      </c>
      <c r="I292" t="s">
        <v>25</v>
      </c>
      <c r="J292">
        <v>2</v>
      </c>
      <c r="K292" t="s">
        <v>26</v>
      </c>
      <c r="L292">
        <v>26</v>
      </c>
      <c r="M292" t="s">
        <v>27</v>
      </c>
      <c r="N292" t="s">
        <v>28</v>
      </c>
      <c r="O292">
        <v>1</v>
      </c>
      <c r="P292" t="s">
        <v>29</v>
      </c>
      <c r="Q292">
        <v>1</v>
      </c>
      <c r="R292" t="s">
        <v>30</v>
      </c>
      <c r="S292" t="s">
        <v>75</v>
      </c>
      <c r="T292" t="s">
        <v>31</v>
      </c>
    </row>
    <row r="293" spans="1:20" x14ac:dyDescent="0.35">
      <c r="A293" t="s">
        <v>351</v>
      </c>
      <c r="B293">
        <v>36</v>
      </c>
      <c r="C293" t="s">
        <v>33</v>
      </c>
      <c r="D293" t="s">
        <v>51</v>
      </c>
      <c r="E293">
        <v>1033780</v>
      </c>
      <c r="F293" s="2" t="s">
        <v>1060</v>
      </c>
      <c r="G293" t="s">
        <v>59</v>
      </c>
      <c r="H293">
        <v>1</v>
      </c>
      <c r="I293" t="s">
        <v>25</v>
      </c>
      <c r="J293">
        <v>4</v>
      </c>
      <c r="K293" t="s">
        <v>52</v>
      </c>
      <c r="L293">
        <v>28</v>
      </c>
      <c r="M293" t="s">
        <v>27</v>
      </c>
      <c r="N293" t="s">
        <v>53</v>
      </c>
      <c r="O293">
        <v>1</v>
      </c>
      <c r="P293" t="s">
        <v>54</v>
      </c>
      <c r="Q293">
        <v>1</v>
      </c>
      <c r="R293" t="s">
        <v>30</v>
      </c>
      <c r="S293" t="s">
        <v>30</v>
      </c>
      <c r="T293" t="s">
        <v>31</v>
      </c>
    </row>
    <row r="294" spans="1:20" x14ac:dyDescent="0.35">
      <c r="A294" t="s">
        <v>352</v>
      </c>
      <c r="B294">
        <v>24</v>
      </c>
      <c r="C294" t="s">
        <v>21</v>
      </c>
      <c r="D294" t="s">
        <v>51</v>
      </c>
      <c r="E294">
        <v>706090</v>
      </c>
      <c r="F294" s="1" t="s">
        <v>1060</v>
      </c>
      <c r="G294" t="s">
        <v>24</v>
      </c>
      <c r="H294">
        <v>2</v>
      </c>
      <c r="I294" t="s">
        <v>35</v>
      </c>
      <c r="J294">
        <v>4</v>
      </c>
      <c r="K294" t="s">
        <v>47</v>
      </c>
      <c r="L294">
        <v>44</v>
      </c>
      <c r="M294" t="s">
        <v>27</v>
      </c>
      <c r="N294" t="s">
        <v>43</v>
      </c>
      <c r="O294">
        <v>2</v>
      </c>
      <c r="P294" t="s">
        <v>54</v>
      </c>
      <c r="Q294">
        <v>2</v>
      </c>
      <c r="R294" t="s">
        <v>30</v>
      </c>
      <c r="S294" t="s">
        <v>30</v>
      </c>
      <c r="T294" t="s">
        <v>31</v>
      </c>
    </row>
    <row r="295" spans="1:20" x14ac:dyDescent="0.35">
      <c r="A295" t="s">
        <v>353</v>
      </c>
      <c r="B295">
        <v>42</v>
      </c>
      <c r="C295" t="s">
        <v>21</v>
      </c>
      <c r="D295" t="s">
        <v>51</v>
      </c>
      <c r="E295">
        <v>527560</v>
      </c>
      <c r="F295" s="2" t="s">
        <v>1060</v>
      </c>
      <c r="G295" t="s">
        <v>24</v>
      </c>
      <c r="H295">
        <v>4</v>
      </c>
      <c r="I295" t="s">
        <v>25</v>
      </c>
      <c r="J295">
        <v>4</v>
      </c>
      <c r="K295" t="s">
        <v>47</v>
      </c>
      <c r="L295">
        <v>56</v>
      </c>
      <c r="M295" t="s">
        <v>27</v>
      </c>
      <c r="N295" t="s">
        <v>43</v>
      </c>
      <c r="O295">
        <v>1</v>
      </c>
      <c r="P295" t="s">
        <v>29</v>
      </c>
      <c r="Q295">
        <v>1</v>
      </c>
      <c r="R295" t="s">
        <v>27</v>
      </c>
      <c r="S295" t="s">
        <v>30</v>
      </c>
      <c r="T295" t="s">
        <v>31</v>
      </c>
    </row>
    <row r="296" spans="1:20" x14ac:dyDescent="0.35">
      <c r="A296" t="s">
        <v>354</v>
      </c>
      <c r="B296">
        <v>48</v>
      </c>
      <c r="C296" t="s">
        <v>21</v>
      </c>
      <c r="D296" t="s">
        <v>61</v>
      </c>
      <c r="E296">
        <v>839190</v>
      </c>
      <c r="F296" s="1" t="s">
        <v>23</v>
      </c>
      <c r="G296" t="s">
        <v>24</v>
      </c>
      <c r="H296">
        <v>4</v>
      </c>
      <c r="I296" t="s">
        <v>25</v>
      </c>
      <c r="J296">
        <v>2</v>
      </c>
      <c r="K296" t="s">
        <v>52</v>
      </c>
      <c r="L296">
        <v>46</v>
      </c>
      <c r="M296" t="s">
        <v>69</v>
      </c>
      <c r="N296" t="s">
        <v>28</v>
      </c>
      <c r="O296">
        <v>2</v>
      </c>
      <c r="P296" t="s">
        <v>54</v>
      </c>
      <c r="Q296">
        <v>2</v>
      </c>
      <c r="R296" t="s">
        <v>27</v>
      </c>
      <c r="S296" t="s">
        <v>30</v>
      </c>
      <c r="T296" t="s">
        <v>31</v>
      </c>
    </row>
    <row r="297" spans="1:20" x14ac:dyDescent="0.35">
      <c r="A297" t="s">
        <v>355</v>
      </c>
      <c r="B297">
        <v>48</v>
      </c>
      <c r="C297" t="s">
        <v>33</v>
      </c>
      <c r="D297" t="s">
        <v>41</v>
      </c>
      <c r="E297">
        <v>1095600</v>
      </c>
      <c r="F297" s="2" t="s">
        <v>1060</v>
      </c>
      <c r="G297" t="s">
        <v>59</v>
      </c>
      <c r="H297">
        <v>1</v>
      </c>
      <c r="I297" t="s">
        <v>35</v>
      </c>
      <c r="J297">
        <v>2</v>
      </c>
      <c r="K297" t="s">
        <v>52</v>
      </c>
      <c r="L297">
        <v>26</v>
      </c>
      <c r="M297" t="s">
        <v>27</v>
      </c>
      <c r="N297" t="s">
        <v>28</v>
      </c>
      <c r="O297">
        <v>1</v>
      </c>
      <c r="P297" t="s">
        <v>29</v>
      </c>
      <c r="Q297">
        <v>1</v>
      </c>
      <c r="R297" t="s">
        <v>30</v>
      </c>
      <c r="S297" t="s">
        <v>30</v>
      </c>
      <c r="T297" t="s">
        <v>31</v>
      </c>
    </row>
    <row r="298" spans="1:20" x14ac:dyDescent="0.35">
      <c r="A298" t="s">
        <v>356</v>
      </c>
      <c r="B298">
        <v>12</v>
      </c>
      <c r="C298" t="s">
        <v>33</v>
      </c>
      <c r="D298" t="s">
        <v>51</v>
      </c>
      <c r="E298">
        <v>514250</v>
      </c>
      <c r="F298" s="1" t="s">
        <v>23</v>
      </c>
      <c r="G298" t="s">
        <v>59</v>
      </c>
      <c r="H298">
        <v>1</v>
      </c>
      <c r="I298" t="s">
        <v>35</v>
      </c>
      <c r="J298">
        <v>4</v>
      </c>
      <c r="K298" t="s">
        <v>52</v>
      </c>
      <c r="L298">
        <v>20</v>
      </c>
      <c r="M298" t="s">
        <v>27</v>
      </c>
      <c r="N298" t="s">
        <v>53</v>
      </c>
      <c r="O298">
        <v>1</v>
      </c>
      <c r="P298" t="s">
        <v>29</v>
      </c>
      <c r="Q298">
        <v>1</v>
      </c>
      <c r="R298" t="s">
        <v>27</v>
      </c>
      <c r="S298" t="s">
        <v>30</v>
      </c>
      <c r="T298" t="s">
        <v>31</v>
      </c>
    </row>
    <row r="299" spans="1:20" x14ac:dyDescent="0.35">
      <c r="A299" t="s">
        <v>357</v>
      </c>
      <c r="B299">
        <v>10</v>
      </c>
      <c r="C299" t="s">
        <v>33</v>
      </c>
      <c r="D299" t="s">
        <v>46</v>
      </c>
      <c r="E299">
        <v>141570</v>
      </c>
      <c r="F299" s="2" t="s">
        <v>23</v>
      </c>
      <c r="G299" t="s">
        <v>24</v>
      </c>
      <c r="H299">
        <v>4</v>
      </c>
      <c r="I299" t="s">
        <v>25</v>
      </c>
      <c r="J299">
        <v>2</v>
      </c>
      <c r="K299" t="s">
        <v>42</v>
      </c>
      <c r="L299">
        <v>45</v>
      </c>
      <c r="M299" t="s">
        <v>27</v>
      </c>
      <c r="N299" t="s">
        <v>28</v>
      </c>
      <c r="O299">
        <v>1</v>
      </c>
      <c r="P299" t="s">
        <v>39</v>
      </c>
      <c r="Q299">
        <v>1</v>
      </c>
      <c r="R299" t="s">
        <v>27</v>
      </c>
      <c r="S299" t="s">
        <v>75</v>
      </c>
      <c r="T299" t="s">
        <v>31</v>
      </c>
    </row>
    <row r="300" spans="1:20" x14ac:dyDescent="0.35">
      <c r="A300" t="s">
        <v>358</v>
      </c>
      <c r="B300">
        <v>18</v>
      </c>
      <c r="C300" t="s">
        <v>33</v>
      </c>
      <c r="D300" t="s">
        <v>41</v>
      </c>
      <c r="E300">
        <v>276650</v>
      </c>
      <c r="F300" s="1" t="s">
        <v>1060</v>
      </c>
      <c r="G300" t="s">
        <v>34</v>
      </c>
      <c r="H300">
        <v>3</v>
      </c>
      <c r="I300" t="s">
        <v>25</v>
      </c>
      <c r="J300">
        <v>4</v>
      </c>
      <c r="K300" t="s">
        <v>26</v>
      </c>
      <c r="L300">
        <v>43</v>
      </c>
      <c r="M300" t="s">
        <v>27</v>
      </c>
      <c r="N300" t="s">
        <v>28</v>
      </c>
      <c r="O300">
        <v>1</v>
      </c>
      <c r="P300" t="s">
        <v>29</v>
      </c>
      <c r="Q300">
        <v>1</v>
      </c>
      <c r="R300" t="s">
        <v>30</v>
      </c>
      <c r="S300" t="s">
        <v>30</v>
      </c>
      <c r="T300" t="s">
        <v>31</v>
      </c>
    </row>
    <row r="301" spans="1:20" x14ac:dyDescent="0.35">
      <c r="A301" t="s">
        <v>359</v>
      </c>
      <c r="B301">
        <v>21</v>
      </c>
      <c r="C301" t="s">
        <v>21</v>
      </c>
      <c r="D301" t="s">
        <v>41</v>
      </c>
      <c r="E301">
        <v>301950</v>
      </c>
      <c r="F301" s="2" t="s">
        <v>1062</v>
      </c>
      <c r="G301" t="s">
        <v>38</v>
      </c>
      <c r="H301">
        <v>3</v>
      </c>
      <c r="I301" t="s">
        <v>25</v>
      </c>
      <c r="J301">
        <v>2</v>
      </c>
      <c r="K301" t="s">
        <v>52</v>
      </c>
      <c r="L301">
        <v>32</v>
      </c>
      <c r="M301" t="s">
        <v>27</v>
      </c>
      <c r="N301" t="s">
        <v>28</v>
      </c>
      <c r="O301">
        <v>2</v>
      </c>
      <c r="P301" t="s">
        <v>29</v>
      </c>
      <c r="Q301">
        <v>1</v>
      </c>
      <c r="R301" t="s">
        <v>30</v>
      </c>
      <c r="S301" t="s">
        <v>30</v>
      </c>
      <c r="T301" t="s">
        <v>31</v>
      </c>
    </row>
    <row r="302" spans="1:20" x14ac:dyDescent="0.35">
      <c r="A302" t="s">
        <v>360</v>
      </c>
      <c r="B302">
        <v>6</v>
      </c>
      <c r="C302" t="s">
        <v>33</v>
      </c>
      <c r="D302" t="s">
        <v>46</v>
      </c>
      <c r="E302">
        <v>73920</v>
      </c>
      <c r="F302" s="1" t="s">
        <v>1060</v>
      </c>
      <c r="G302" t="s">
        <v>57</v>
      </c>
      <c r="H302">
        <v>1</v>
      </c>
      <c r="I302" t="s">
        <v>35</v>
      </c>
      <c r="J302">
        <v>4</v>
      </c>
      <c r="K302" t="s">
        <v>26</v>
      </c>
      <c r="L302">
        <v>54</v>
      </c>
      <c r="M302" t="s">
        <v>27</v>
      </c>
      <c r="N302" t="s">
        <v>28</v>
      </c>
      <c r="O302">
        <v>1</v>
      </c>
      <c r="P302" t="s">
        <v>105</v>
      </c>
      <c r="Q302">
        <v>1</v>
      </c>
      <c r="R302" t="s">
        <v>30</v>
      </c>
      <c r="S302" t="s">
        <v>30</v>
      </c>
      <c r="T302" t="s">
        <v>31</v>
      </c>
    </row>
    <row r="303" spans="1:20" x14ac:dyDescent="0.35">
      <c r="A303" t="s">
        <v>361</v>
      </c>
      <c r="B303">
        <v>36</v>
      </c>
      <c r="C303" t="s">
        <v>68</v>
      </c>
      <c r="D303" t="s">
        <v>22</v>
      </c>
      <c r="E303">
        <v>418440</v>
      </c>
      <c r="F303" s="2" t="s">
        <v>1060</v>
      </c>
      <c r="G303" t="s">
        <v>34</v>
      </c>
      <c r="H303">
        <v>4</v>
      </c>
      <c r="I303" t="s">
        <v>35</v>
      </c>
      <c r="J303">
        <v>1</v>
      </c>
      <c r="K303" t="s">
        <v>52</v>
      </c>
      <c r="L303">
        <v>42</v>
      </c>
      <c r="M303" t="s">
        <v>27</v>
      </c>
      <c r="N303" t="s">
        <v>28</v>
      </c>
      <c r="O303">
        <v>1</v>
      </c>
      <c r="P303" t="s">
        <v>29</v>
      </c>
      <c r="Q303">
        <v>1</v>
      </c>
      <c r="R303" t="s">
        <v>30</v>
      </c>
      <c r="S303" t="s">
        <v>30</v>
      </c>
      <c r="T303" t="s">
        <v>31</v>
      </c>
    </row>
    <row r="304" spans="1:20" x14ac:dyDescent="0.35">
      <c r="A304" t="s">
        <v>362</v>
      </c>
      <c r="B304">
        <v>24</v>
      </c>
      <c r="C304" t="s">
        <v>21</v>
      </c>
      <c r="D304" t="s">
        <v>46</v>
      </c>
      <c r="E304">
        <v>147840</v>
      </c>
      <c r="F304" s="1" t="s">
        <v>23</v>
      </c>
      <c r="G304" t="s">
        <v>38</v>
      </c>
      <c r="H304">
        <v>4</v>
      </c>
      <c r="I304" t="s">
        <v>25</v>
      </c>
      <c r="J304">
        <v>2</v>
      </c>
      <c r="K304" t="s">
        <v>26</v>
      </c>
      <c r="L304">
        <v>37</v>
      </c>
      <c r="M304" t="s">
        <v>69</v>
      </c>
      <c r="N304" t="s">
        <v>28</v>
      </c>
      <c r="O304">
        <v>2</v>
      </c>
      <c r="P304" t="s">
        <v>39</v>
      </c>
      <c r="Q304">
        <v>2</v>
      </c>
      <c r="R304" t="s">
        <v>27</v>
      </c>
      <c r="S304" t="s">
        <v>30</v>
      </c>
      <c r="T304" t="s">
        <v>31</v>
      </c>
    </row>
    <row r="305" spans="1:20" x14ac:dyDescent="0.35">
      <c r="A305" t="s">
        <v>363</v>
      </c>
      <c r="B305">
        <v>10</v>
      </c>
      <c r="C305" t="s">
        <v>21</v>
      </c>
      <c r="D305" t="s">
        <v>46</v>
      </c>
      <c r="E305">
        <v>114180</v>
      </c>
      <c r="F305" s="2" t="s">
        <v>1060</v>
      </c>
      <c r="G305" t="s">
        <v>38</v>
      </c>
      <c r="H305">
        <v>4</v>
      </c>
      <c r="I305" t="s">
        <v>25</v>
      </c>
      <c r="J305">
        <v>3</v>
      </c>
      <c r="K305" t="s">
        <v>42</v>
      </c>
      <c r="L305">
        <v>49</v>
      </c>
      <c r="M305" t="s">
        <v>27</v>
      </c>
      <c r="N305" t="s">
        <v>28</v>
      </c>
      <c r="O305">
        <v>2</v>
      </c>
      <c r="P305" t="s">
        <v>29</v>
      </c>
      <c r="Q305">
        <v>1</v>
      </c>
      <c r="R305" t="s">
        <v>30</v>
      </c>
      <c r="S305" t="s">
        <v>30</v>
      </c>
      <c r="T305" t="s">
        <v>31</v>
      </c>
    </row>
    <row r="306" spans="1:20" x14ac:dyDescent="0.35">
      <c r="A306" t="s">
        <v>364</v>
      </c>
      <c r="B306">
        <v>48</v>
      </c>
      <c r="C306" t="s">
        <v>21</v>
      </c>
      <c r="D306" t="s">
        <v>46</v>
      </c>
      <c r="E306">
        <v>1113970</v>
      </c>
      <c r="F306" s="1" t="s">
        <v>1061</v>
      </c>
      <c r="G306" t="s">
        <v>34</v>
      </c>
      <c r="H306">
        <v>2</v>
      </c>
      <c r="I306" t="s">
        <v>25</v>
      </c>
      <c r="J306">
        <v>2</v>
      </c>
      <c r="K306" t="s">
        <v>47</v>
      </c>
      <c r="L306">
        <v>44</v>
      </c>
      <c r="M306" t="s">
        <v>69</v>
      </c>
      <c r="N306" t="s">
        <v>43</v>
      </c>
      <c r="O306">
        <v>1</v>
      </c>
      <c r="P306" t="s">
        <v>29</v>
      </c>
      <c r="Q306">
        <v>1</v>
      </c>
      <c r="R306" t="s">
        <v>27</v>
      </c>
      <c r="S306" t="s">
        <v>30</v>
      </c>
      <c r="T306" t="s">
        <v>31</v>
      </c>
    </row>
    <row r="307" spans="1:20" x14ac:dyDescent="0.35">
      <c r="A307" t="s">
        <v>365</v>
      </c>
      <c r="B307">
        <v>6</v>
      </c>
      <c r="C307" t="s">
        <v>33</v>
      </c>
      <c r="D307" t="s">
        <v>41</v>
      </c>
      <c r="E307">
        <v>169730</v>
      </c>
      <c r="F307" s="2" t="s">
        <v>1062</v>
      </c>
      <c r="G307" t="s">
        <v>34</v>
      </c>
      <c r="H307">
        <v>4</v>
      </c>
      <c r="I307" t="s">
        <v>25</v>
      </c>
      <c r="J307">
        <v>2</v>
      </c>
      <c r="K307" t="s">
        <v>26</v>
      </c>
      <c r="L307">
        <v>33</v>
      </c>
      <c r="M307" t="s">
        <v>27</v>
      </c>
      <c r="N307" t="s">
        <v>28</v>
      </c>
      <c r="O307">
        <v>1</v>
      </c>
      <c r="P307" t="s">
        <v>29</v>
      </c>
      <c r="Q307">
        <v>1</v>
      </c>
      <c r="R307" t="s">
        <v>27</v>
      </c>
      <c r="S307" t="s">
        <v>30</v>
      </c>
      <c r="T307" t="s">
        <v>31</v>
      </c>
    </row>
    <row r="308" spans="1:20" x14ac:dyDescent="0.35">
      <c r="A308" t="s">
        <v>366</v>
      </c>
      <c r="B308">
        <v>30</v>
      </c>
      <c r="C308" t="s">
        <v>33</v>
      </c>
      <c r="D308" t="s">
        <v>51</v>
      </c>
      <c r="E308">
        <v>529210</v>
      </c>
      <c r="F308" s="1" t="s">
        <v>23</v>
      </c>
      <c r="G308" t="s">
        <v>38</v>
      </c>
      <c r="H308">
        <v>2</v>
      </c>
      <c r="I308" t="s">
        <v>35</v>
      </c>
      <c r="J308">
        <v>4</v>
      </c>
      <c r="K308" t="s">
        <v>42</v>
      </c>
      <c r="L308">
        <v>24</v>
      </c>
      <c r="M308" t="s">
        <v>86</v>
      </c>
      <c r="N308" t="s">
        <v>53</v>
      </c>
      <c r="O308">
        <v>1</v>
      </c>
      <c r="P308" t="s">
        <v>39</v>
      </c>
      <c r="Q308">
        <v>1</v>
      </c>
      <c r="R308" t="s">
        <v>27</v>
      </c>
      <c r="S308" t="s">
        <v>30</v>
      </c>
      <c r="T308" t="s">
        <v>31</v>
      </c>
    </row>
    <row r="309" spans="1:20" x14ac:dyDescent="0.35">
      <c r="A309" t="s">
        <v>367</v>
      </c>
      <c r="B309">
        <v>12</v>
      </c>
      <c r="C309" t="s">
        <v>33</v>
      </c>
      <c r="D309" t="s">
        <v>22</v>
      </c>
      <c r="E309">
        <v>79970</v>
      </c>
      <c r="F309" s="2" t="s">
        <v>1063</v>
      </c>
      <c r="G309" t="s">
        <v>59</v>
      </c>
      <c r="H309">
        <v>4</v>
      </c>
      <c r="I309" t="s">
        <v>25</v>
      </c>
      <c r="J309">
        <v>3</v>
      </c>
      <c r="K309" t="s">
        <v>47</v>
      </c>
      <c r="L309">
        <v>33</v>
      </c>
      <c r="M309" t="s">
        <v>27</v>
      </c>
      <c r="N309" t="s">
        <v>28</v>
      </c>
      <c r="O309">
        <v>1</v>
      </c>
      <c r="P309" t="s">
        <v>39</v>
      </c>
      <c r="Q309">
        <v>1</v>
      </c>
      <c r="R309" t="s">
        <v>30</v>
      </c>
      <c r="S309" t="s">
        <v>30</v>
      </c>
      <c r="T309" t="s">
        <v>31</v>
      </c>
    </row>
    <row r="310" spans="1:20" x14ac:dyDescent="0.35">
      <c r="A310" t="s">
        <v>368</v>
      </c>
      <c r="B310">
        <v>8</v>
      </c>
      <c r="C310" t="s">
        <v>33</v>
      </c>
      <c r="D310" t="s">
        <v>41</v>
      </c>
      <c r="E310">
        <v>136070</v>
      </c>
      <c r="F310" s="1" t="s">
        <v>1060</v>
      </c>
      <c r="G310" t="s">
        <v>34</v>
      </c>
      <c r="H310">
        <v>3</v>
      </c>
      <c r="I310" t="s">
        <v>35</v>
      </c>
      <c r="J310">
        <v>4</v>
      </c>
      <c r="K310" t="s">
        <v>26</v>
      </c>
      <c r="L310">
        <v>24</v>
      </c>
      <c r="M310" t="s">
        <v>27</v>
      </c>
      <c r="N310" t="s">
        <v>28</v>
      </c>
      <c r="O310">
        <v>1</v>
      </c>
      <c r="P310" t="s">
        <v>29</v>
      </c>
      <c r="Q310">
        <v>1</v>
      </c>
      <c r="R310" t="s">
        <v>27</v>
      </c>
      <c r="S310" t="s">
        <v>30</v>
      </c>
      <c r="T310" t="s">
        <v>31</v>
      </c>
    </row>
    <row r="311" spans="1:20" x14ac:dyDescent="0.35">
      <c r="A311" t="s">
        <v>369</v>
      </c>
      <c r="B311">
        <v>9</v>
      </c>
      <c r="C311" t="s">
        <v>33</v>
      </c>
      <c r="D311" t="s">
        <v>46</v>
      </c>
      <c r="E311">
        <v>30360</v>
      </c>
      <c r="F311" s="2" t="s">
        <v>1060</v>
      </c>
      <c r="G311" t="s">
        <v>34</v>
      </c>
      <c r="H311">
        <v>4</v>
      </c>
      <c r="I311" t="s">
        <v>25</v>
      </c>
      <c r="J311">
        <v>4</v>
      </c>
      <c r="K311" t="s">
        <v>26</v>
      </c>
      <c r="L311">
        <v>22</v>
      </c>
      <c r="M311" t="s">
        <v>27</v>
      </c>
      <c r="N311" t="s">
        <v>53</v>
      </c>
      <c r="O311">
        <v>1</v>
      </c>
      <c r="P311" t="s">
        <v>39</v>
      </c>
      <c r="Q311">
        <v>1</v>
      </c>
      <c r="R311" t="s">
        <v>27</v>
      </c>
      <c r="S311" t="s">
        <v>30</v>
      </c>
      <c r="T311" t="s">
        <v>31</v>
      </c>
    </row>
    <row r="312" spans="1:20" x14ac:dyDescent="0.35">
      <c r="A312" t="s">
        <v>370</v>
      </c>
      <c r="B312">
        <v>48</v>
      </c>
      <c r="C312" t="s">
        <v>33</v>
      </c>
      <c r="D312" t="s">
        <v>131</v>
      </c>
      <c r="E312">
        <v>591910</v>
      </c>
      <c r="F312" s="1" t="s">
        <v>23</v>
      </c>
      <c r="G312" t="s">
        <v>57</v>
      </c>
      <c r="H312">
        <v>3</v>
      </c>
      <c r="I312" t="s">
        <v>25</v>
      </c>
      <c r="J312">
        <v>4</v>
      </c>
      <c r="K312" t="s">
        <v>47</v>
      </c>
      <c r="L312">
        <v>40</v>
      </c>
      <c r="M312" t="s">
        <v>69</v>
      </c>
      <c r="N312" t="s">
        <v>43</v>
      </c>
      <c r="O312">
        <v>1</v>
      </c>
      <c r="P312" t="s">
        <v>105</v>
      </c>
      <c r="Q312">
        <v>1</v>
      </c>
      <c r="R312" t="s">
        <v>30</v>
      </c>
      <c r="S312" t="s">
        <v>30</v>
      </c>
      <c r="T312" t="s">
        <v>31</v>
      </c>
    </row>
    <row r="313" spans="1:20" x14ac:dyDescent="0.35">
      <c r="A313" t="s">
        <v>371</v>
      </c>
      <c r="B313">
        <v>24</v>
      </c>
      <c r="C313" t="s">
        <v>33</v>
      </c>
      <c r="D313" t="s">
        <v>41</v>
      </c>
      <c r="E313">
        <v>606210</v>
      </c>
      <c r="F313" s="2" t="s">
        <v>1063</v>
      </c>
      <c r="G313" t="s">
        <v>34</v>
      </c>
      <c r="H313">
        <v>4</v>
      </c>
      <c r="I313" t="s">
        <v>25</v>
      </c>
      <c r="J313">
        <v>1</v>
      </c>
      <c r="K313" t="s">
        <v>52</v>
      </c>
      <c r="L313">
        <v>25</v>
      </c>
      <c r="M313" t="s">
        <v>86</v>
      </c>
      <c r="N313" t="s">
        <v>28</v>
      </c>
      <c r="O313">
        <v>1</v>
      </c>
      <c r="P313" t="s">
        <v>29</v>
      </c>
      <c r="Q313">
        <v>1</v>
      </c>
      <c r="R313" t="s">
        <v>27</v>
      </c>
      <c r="S313" t="s">
        <v>30</v>
      </c>
      <c r="T313" t="s">
        <v>31</v>
      </c>
    </row>
    <row r="314" spans="1:20" x14ac:dyDescent="0.35">
      <c r="A314" t="s">
        <v>372</v>
      </c>
      <c r="B314">
        <v>24</v>
      </c>
      <c r="C314" t="s">
        <v>33</v>
      </c>
      <c r="D314" t="s">
        <v>41</v>
      </c>
      <c r="E314">
        <v>412390</v>
      </c>
      <c r="F314" s="1" t="s">
        <v>1060</v>
      </c>
      <c r="G314" t="s">
        <v>59</v>
      </c>
      <c r="H314">
        <v>2</v>
      </c>
      <c r="I314" t="s">
        <v>35</v>
      </c>
      <c r="J314">
        <v>4</v>
      </c>
      <c r="K314" t="s">
        <v>52</v>
      </c>
      <c r="L314">
        <v>26</v>
      </c>
      <c r="M314" t="s">
        <v>27</v>
      </c>
      <c r="N314" t="s">
        <v>28</v>
      </c>
      <c r="O314">
        <v>1</v>
      </c>
      <c r="P314" t="s">
        <v>29</v>
      </c>
      <c r="Q314">
        <v>1</v>
      </c>
      <c r="R314" t="s">
        <v>27</v>
      </c>
      <c r="S314" t="s">
        <v>30</v>
      </c>
      <c r="T314" t="s">
        <v>31</v>
      </c>
    </row>
    <row r="315" spans="1:20" x14ac:dyDescent="0.35">
      <c r="A315" t="s">
        <v>373</v>
      </c>
      <c r="B315">
        <v>12</v>
      </c>
      <c r="C315" t="s">
        <v>33</v>
      </c>
      <c r="D315" t="s">
        <v>46</v>
      </c>
      <c r="E315">
        <v>75350</v>
      </c>
      <c r="F315" s="2" t="s">
        <v>1060</v>
      </c>
      <c r="G315" t="s">
        <v>38</v>
      </c>
      <c r="H315">
        <v>2</v>
      </c>
      <c r="I315" t="s">
        <v>25</v>
      </c>
      <c r="J315">
        <v>3</v>
      </c>
      <c r="K315" t="s">
        <v>52</v>
      </c>
      <c r="L315">
        <v>25</v>
      </c>
      <c r="M315" t="s">
        <v>69</v>
      </c>
      <c r="N315" t="s">
        <v>28</v>
      </c>
      <c r="O315">
        <v>1</v>
      </c>
      <c r="P315" t="s">
        <v>39</v>
      </c>
      <c r="Q315">
        <v>1</v>
      </c>
      <c r="R315" t="s">
        <v>27</v>
      </c>
      <c r="S315" t="s">
        <v>30</v>
      </c>
      <c r="T315" t="s">
        <v>31</v>
      </c>
    </row>
    <row r="316" spans="1:20" x14ac:dyDescent="0.35">
      <c r="A316" t="s">
        <v>374</v>
      </c>
      <c r="B316">
        <v>4</v>
      </c>
      <c r="C316" t="s">
        <v>33</v>
      </c>
      <c r="D316" t="s">
        <v>46</v>
      </c>
      <c r="E316">
        <v>164340</v>
      </c>
      <c r="F316" s="1" t="s">
        <v>23</v>
      </c>
      <c r="G316" t="s">
        <v>59</v>
      </c>
      <c r="H316">
        <v>1</v>
      </c>
      <c r="I316" t="s">
        <v>25</v>
      </c>
      <c r="J316">
        <v>2</v>
      </c>
      <c r="K316" t="s">
        <v>26</v>
      </c>
      <c r="L316">
        <v>29</v>
      </c>
      <c r="M316" t="s">
        <v>27</v>
      </c>
      <c r="N316" t="s">
        <v>28</v>
      </c>
      <c r="O316">
        <v>1</v>
      </c>
      <c r="P316" t="s">
        <v>39</v>
      </c>
      <c r="Q316">
        <v>2</v>
      </c>
      <c r="R316" t="s">
        <v>27</v>
      </c>
      <c r="S316" t="s">
        <v>75</v>
      </c>
      <c r="T316" t="s">
        <v>31</v>
      </c>
    </row>
    <row r="317" spans="1:20" x14ac:dyDescent="0.35">
      <c r="A317" t="s">
        <v>375</v>
      </c>
      <c r="B317">
        <v>36</v>
      </c>
      <c r="C317" t="s">
        <v>81</v>
      </c>
      <c r="D317" t="s">
        <v>41</v>
      </c>
      <c r="E317">
        <v>302060</v>
      </c>
      <c r="F317" s="2" t="s">
        <v>1060</v>
      </c>
      <c r="G317" t="s">
        <v>24</v>
      </c>
      <c r="H317">
        <v>4</v>
      </c>
      <c r="I317" t="s">
        <v>25</v>
      </c>
      <c r="J317">
        <v>4</v>
      </c>
      <c r="K317" t="s">
        <v>52</v>
      </c>
      <c r="L317">
        <v>31</v>
      </c>
      <c r="M317" t="s">
        <v>69</v>
      </c>
      <c r="N317" t="s">
        <v>28</v>
      </c>
      <c r="O317">
        <v>1</v>
      </c>
      <c r="P317" t="s">
        <v>29</v>
      </c>
      <c r="Q317">
        <v>1</v>
      </c>
      <c r="R317" t="s">
        <v>27</v>
      </c>
      <c r="S317" t="s">
        <v>30</v>
      </c>
      <c r="T317" t="s">
        <v>31</v>
      </c>
    </row>
    <row r="318" spans="1:20" x14ac:dyDescent="0.35">
      <c r="A318" t="s">
        <v>376</v>
      </c>
      <c r="B318">
        <v>12</v>
      </c>
      <c r="C318" t="s">
        <v>33</v>
      </c>
      <c r="D318" t="s">
        <v>41</v>
      </c>
      <c r="E318">
        <v>77880</v>
      </c>
      <c r="F318" s="1" t="s">
        <v>1060</v>
      </c>
      <c r="G318" t="s">
        <v>34</v>
      </c>
      <c r="H318">
        <v>2</v>
      </c>
      <c r="I318" t="s">
        <v>25</v>
      </c>
      <c r="J318">
        <v>3</v>
      </c>
      <c r="K318" t="s">
        <v>42</v>
      </c>
      <c r="L318">
        <v>38</v>
      </c>
      <c r="M318" t="s">
        <v>27</v>
      </c>
      <c r="N318" t="s">
        <v>28</v>
      </c>
      <c r="O318">
        <v>1</v>
      </c>
      <c r="P318" t="s">
        <v>39</v>
      </c>
      <c r="Q318">
        <v>2</v>
      </c>
      <c r="R318" t="s">
        <v>27</v>
      </c>
      <c r="S318" t="s">
        <v>30</v>
      </c>
      <c r="T318" t="s">
        <v>31</v>
      </c>
    </row>
    <row r="319" spans="1:20" x14ac:dyDescent="0.35">
      <c r="A319" t="s">
        <v>377</v>
      </c>
      <c r="B319">
        <v>24</v>
      </c>
      <c r="C319" t="s">
        <v>33</v>
      </c>
      <c r="D319" t="s">
        <v>41</v>
      </c>
      <c r="E319">
        <v>478610</v>
      </c>
      <c r="F319" s="2" t="s">
        <v>23</v>
      </c>
      <c r="G319" t="s">
        <v>34</v>
      </c>
      <c r="H319">
        <v>1</v>
      </c>
      <c r="I319" t="s">
        <v>35</v>
      </c>
      <c r="J319">
        <v>4</v>
      </c>
      <c r="K319" t="s">
        <v>42</v>
      </c>
      <c r="L319">
        <v>48</v>
      </c>
      <c r="M319" t="s">
        <v>27</v>
      </c>
      <c r="N319" t="s">
        <v>28</v>
      </c>
      <c r="O319">
        <v>1</v>
      </c>
      <c r="P319" t="s">
        <v>39</v>
      </c>
      <c r="Q319">
        <v>1</v>
      </c>
      <c r="R319" t="s">
        <v>30</v>
      </c>
      <c r="S319" t="s">
        <v>30</v>
      </c>
      <c r="T319" t="s">
        <v>31</v>
      </c>
    </row>
    <row r="320" spans="1:20" x14ac:dyDescent="0.35">
      <c r="A320" t="s">
        <v>378</v>
      </c>
      <c r="B320">
        <v>12</v>
      </c>
      <c r="C320" t="s">
        <v>21</v>
      </c>
      <c r="D320" t="s">
        <v>37</v>
      </c>
      <c r="E320">
        <v>77110</v>
      </c>
      <c r="F320" s="1" t="s">
        <v>1060</v>
      </c>
      <c r="G320" t="s">
        <v>34</v>
      </c>
      <c r="H320">
        <v>4</v>
      </c>
      <c r="I320" t="s">
        <v>25</v>
      </c>
      <c r="J320">
        <v>2</v>
      </c>
      <c r="K320" t="s">
        <v>52</v>
      </c>
      <c r="L320">
        <v>32</v>
      </c>
      <c r="M320" t="s">
        <v>27</v>
      </c>
      <c r="N320" t="s">
        <v>28</v>
      </c>
      <c r="O320">
        <v>2</v>
      </c>
      <c r="P320" t="s">
        <v>29</v>
      </c>
      <c r="Q320">
        <v>1</v>
      </c>
      <c r="R320" t="s">
        <v>27</v>
      </c>
      <c r="S320" t="s">
        <v>30</v>
      </c>
      <c r="T320" t="s">
        <v>31</v>
      </c>
    </row>
    <row r="321" spans="1:20" x14ac:dyDescent="0.35">
      <c r="A321" t="s">
        <v>379</v>
      </c>
      <c r="B321">
        <v>15</v>
      </c>
      <c r="C321" t="s">
        <v>45</v>
      </c>
      <c r="D321" t="s">
        <v>41</v>
      </c>
      <c r="E321">
        <v>400730</v>
      </c>
      <c r="F321" s="2" t="s">
        <v>1060</v>
      </c>
      <c r="G321" t="s">
        <v>24</v>
      </c>
      <c r="H321">
        <v>1</v>
      </c>
      <c r="I321" t="s">
        <v>35</v>
      </c>
      <c r="J321">
        <v>4</v>
      </c>
      <c r="K321" t="s">
        <v>42</v>
      </c>
      <c r="L321">
        <v>27</v>
      </c>
      <c r="M321" t="s">
        <v>27</v>
      </c>
      <c r="N321" t="s">
        <v>28</v>
      </c>
      <c r="O321">
        <v>2</v>
      </c>
      <c r="P321" t="s">
        <v>39</v>
      </c>
      <c r="Q321">
        <v>1</v>
      </c>
      <c r="R321" t="s">
        <v>27</v>
      </c>
      <c r="S321" t="s">
        <v>30</v>
      </c>
      <c r="T321" t="s">
        <v>31</v>
      </c>
    </row>
    <row r="322" spans="1:20" x14ac:dyDescent="0.35">
      <c r="A322" t="s">
        <v>380</v>
      </c>
      <c r="B322">
        <v>30</v>
      </c>
      <c r="C322" t="s">
        <v>21</v>
      </c>
      <c r="D322" t="s">
        <v>46</v>
      </c>
      <c r="E322">
        <v>467390</v>
      </c>
      <c r="F322" s="1" t="s">
        <v>1060</v>
      </c>
      <c r="G322" t="s">
        <v>57</v>
      </c>
      <c r="H322">
        <v>4</v>
      </c>
      <c r="I322" t="s">
        <v>25</v>
      </c>
      <c r="J322">
        <v>2</v>
      </c>
      <c r="K322" t="s">
        <v>52</v>
      </c>
      <c r="L322">
        <v>28</v>
      </c>
      <c r="M322" t="s">
        <v>27</v>
      </c>
      <c r="N322" t="s">
        <v>28</v>
      </c>
      <c r="O322">
        <v>2</v>
      </c>
      <c r="P322" t="s">
        <v>54</v>
      </c>
      <c r="Q322">
        <v>1</v>
      </c>
      <c r="R322" t="s">
        <v>27</v>
      </c>
      <c r="S322" t="s">
        <v>30</v>
      </c>
      <c r="T322" t="s">
        <v>31</v>
      </c>
    </row>
    <row r="323" spans="1:20" x14ac:dyDescent="0.35">
      <c r="A323" t="s">
        <v>381</v>
      </c>
      <c r="B323">
        <v>24</v>
      </c>
      <c r="C323" t="s">
        <v>33</v>
      </c>
      <c r="D323" t="s">
        <v>22</v>
      </c>
      <c r="E323">
        <v>213180</v>
      </c>
      <c r="F323" s="2" t="s">
        <v>1060</v>
      </c>
      <c r="G323" t="s">
        <v>59</v>
      </c>
      <c r="H323">
        <v>4</v>
      </c>
      <c r="I323" t="s">
        <v>25</v>
      </c>
      <c r="J323">
        <v>3</v>
      </c>
      <c r="K323" t="s">
        <v>42</v>
      </c>
      <c r="L323">
        <v>32</v>
      </c>
      <c r="M323" t="s">
        <v>27</v>
      </c>
      <c r="N323" t="s">
        <v>28</v>
      </c>
      <c r="O323">
        <v>1</v>
      </c>
      <c r="P323" t="s">
        <v>29</v>
      </c>
      <c r="Q323">
        <v>1</v>
      </c>
      <c r="R323" t="s">
        <v>27</v>
      </c>
      <c r="S323" t="s">
        <v>30</v>
      </c>
      <c r="T323" t="s">
        <v>31</v>
      </c>
    </row>
    <row r="324" spans="1:20" x14ac:dyDescent="0.35">
      <c r="A324" t="s">
        <v>382</v>
      </c>
      <c r="B324">
        <v>24</v>
      </c>
      <c r="C324" t="s">
        <v>33</v>
      </c>
      <c r="D324" t="s">
        <v>51</v>
      </c>
      <c r="E324">
        <v>320100</v>
      </c>
      <c r="F324" s="1" t="s">
        <v>1060</v>
      </c>
      <c r="G324" t="s">
        <v>38</v>
      </c>
      <c r="H324">
        <v>2</v>
      </c>
      <c r="I324" t="s">
        <v>25</v>
      </c>
      <c r="J324">
        <v>1</v>
      </c>
      <c r="K324" t="s">
        <v>47</v>
      </c>
      <c r="L324">
        <v>34</v>
      </c>
      <c r="M324" t="s">
        <v>27</v>
      </c>
      <c r="N324" t="s">
        <v>43</v>
      </c>
      <c r="O324">
        <v>1</v>
      </c>
      <c r="P324" t="s">
        <v>54</v>
      </c>
      <c r="Q324">
        <v>1</v>
      </c>
      <c r="R324" t="s">
        <v>30</v>
      </c>
      <c r="S324" t="s">
        <v>30</v>
      </c>
      <c r="T324" t="s">
        <v>31</v>
      </c>
    </row>
    <row r="325" spans="1:20" x14ac:dyDescent="0.35">
      <c r="A325" t="s">
        <v>383</v>
      </c>
      <c r="B325">
        <v>18</v>
      </c>
      <c r="C325" t="s">
        <v>33</v>
      </c>
      <c r="D325" t="s">
        <v>41</v>
      </c>
      <c r="E325">
        <v>292490</v>
      </c>
      <c r="F325" s="2" t="s">
        <v>1062</v>
      </c>
      <c r="G325" t="s">
        <v>34</v>
      </c>
      <c r="H325">
        <v>4</v>
      </c>
      <c r="I325" t="s">
        <v>25</v>
      </c>
      <c r="J325">
        <v>2</v>
      </c>
      <c r="K325" t="s">
        <v>52</v>
      </c>
      <c r="L325">
        <v>28</v>
      </c>
      <c r="M325" t="s">
        <v>27</v>
      </c>
      <c r="N325" t="s">
        <v>28</v>
      </c>
      <c r="O325">
        <v>1</v>
      </c>
      <c r="P325" t="s">
        <v>29</v>
      </c>
      <c r="Q325">
        <v>1</v>
      </c>
      <c r="R325" t="s">
        <v>27</v>
      </c>
      <c r="S325" t="s">
        <v>30</v>
      </c>
      <c r="T325" t="s">
        <v>31</v>
      </c>
    </row>
    <row r="326" spans="1:20" x14ac:dyDescent="0.35">
      <c r="A326" t="s">
        <v>384</v>
      </c>
      <c r="B326">
        <v>18</v>
      </c>
      <c r="C326" t="s">
        <v>21</v>
      </c>
      <c r="D326" t="s">
        <v>46</v>
      </c>
      <c r="E326">
        <v>113080</v>
      </c>
      <c r="F326" s="1" t="s">
        <v>1060</v>
      </c>
      <c r="G326" t="s">
        <v>34</v>
      </c>
      <c r="H326">
        <v>4</v>
      </c>
      <c r="I326" t="s">
        <v>35</v>
      </c>
      <c r="J326">
        <v>3</v>
      </c>
      <c r="K326" t="s">
        <v>26</v>
      </c>
      <c r="L326">
        <v>36</v>
      </c>
      <c r="M326" t="s">
        <v>27</v>
      </c>
      <c r="N326" t="s">
        <v>28</v>
      </c>
      <c r="O326">
        <v>2</v>
      </c>
      <c r="P326" t="s">
        <v>29</v>
      </c>
      <c r="Q326">
        <v>1</v>
      </c>
      <c r="R326" t="s">
        <v>27</v>
      </c>
      <c r="S326" t="s">
        <v>30</v>
      </c>
      <c r="T326" t="s">
        <v>31</v>
      </c>
    </row>
    <row r="327" spans="1:20" x14ac:dyDescent="0.35">
      <c r="A327" t="s">
        <v>385</v>
      </c>
      <c r="B327">
        <v>8</v>
      </c>
      <c r="C327" t="s">
        <v>21</v>
      </c>
      <c r="D327" t="s">
        <v>46</v>
      </c>
      <c r="E327">
        <v>373780</v>
      </c>
      <c r="F327" s="2" t="s">
        <v>1060</v>
      </c>
      <c r="G327" t="s">
        <v>38</v>
      </c>
      <c r="H327">
        <v>1</v>
      </c>
      <c r="I327" t="s">
        <v>25</v>
      </c>
      <c r="J327">
        <v>4</v>
      </c>
      <c r="K327" t="s">
        <v>26</v>
      </c>
      <c r="L327">
        <v>39</v>
      </c>
      <c r="M327" t="s">
        <v>27</v>
      </c>
      <c r="N327" t="s">
        <v>28</v>
      </c>
      <c r="O327">
        <v>2</v>
      </c>
      <c r="P327" t="s">
        <v>39</v>
      </c>
      <c r="Q327">
        <v>1</v>
      </c>
      <c r="R327" t="s">
        <v>27</v>
      </c>
      <c r="S327" t="s">
        <v>75</v>
      </c>
      <c r="T327" t="s">
        <v>31</v>
      </c>
    </row>
    <row r="328" spans="1:20" x14ac:dyDescent="0.35">
      <c r="A328" t="s">
        <v>386</v>
      </c>
      <c r="B328">
        <v>12</v>
      </c>
      <c r="C328" t="s">
        <v>21</v>
      </c>
      <c r="D328" t="s">
        <v>41</v>
      </c>
      <c r="E328">
        <v>638110</v>
      </c>
      <c r="F328" s="1" t="s">
        <v>23</v>
      </c>
      <c r="G328" t="s">
        <v>24</v>
      </c>
      <c r="H328">
        <v>2</v>
      </c>
      <c r="I328" t="s">
        <v>25</v>
      </c>
      <c r="J328">
        <v>4</v>
      </c>
      <c r="K328" t="s">
        <v>42</v>
      </c>
      <c r="L328">
        <v>49</v>
      </c>
      <c r="M328" t="s">
        <v>27</v>
      </c>
      <c r="N328" t="s">
        <v>53</v>
      </c>
      <c r="O328">
        <v>1</v>
      </c>
      <c r="P328" t="s">
        <v>29</v>
      </c>
      <c r="Q328">
        <v>1</v>
      </c>
      <c r="R328" t="s">
        <v>30</v>
      </c>
      <c r="S328" t="s">
        <v>30</v>
      </c>
      <c r="T328" t="s">
        <v>31</v>
      </c>
    </row>
    <row r="329" spans="1:20" x14ac:dyDescent="0.35">
      <c r="A329" t="s">
        <v>387</v>
      </c>
      <c r="B329">
        <v>24</v>
      </c>
      <c r="C329" t="s">
        <v>33</v>
      </c>
      <c r="D329" t="s">
        <v>46</v>
      </c>
      <c r="E329">
        <v>167750</v>
      </c>
      <c r="F329" s="2" t="s">
        <v>1062</v>
      </c>
      <c r="G329" t="s">
        <v>38</v>
      </c>
      <c r="H329">
        <v>4</v>
      </c>
      <c r="I329" t="s">
        <v>35</v>
      </c>
      <c r="J329">
        <v>3</v>
      </c>
      <c r="K329" t="s">
        <v>52</v>
      </c>
      <c r="L329">
        <v>34</v>
      </c>
      <c r="M329" t="s">
        <v>27</v>
      </c>
      <c r="N329" t="s">
        <v>28</v>
      </c>
      <c r="O329">
        <v>1</v>
      </c>
      <c r="P329" t="s">
        <v>29</v>
      </c>
      <c r="Q329">
        <v>2</v>
      </c>
      <c r="R329" t="s">
        <v>30</v>
      </c>
      <c r="S329" t="s">
        <v>30</v>
      </c>
      <c r="T329" t="s">
        <v>31</v>
      </c>
    </row>
    <row r="330" spans="1:20" x14ac:dyDescent="0.35">
      <c r="A330" t="s">
        <v>388</v>
      </c>
      <c r="B330">
        <v>36</v>
      </c>
      <c r="C330" t="s">
        <v>33</v>
      </c>
      <c r="D330" t="s">
        <v>22</v>
      </c>
      <c r="E330">
        <v>492030</v>
      </c>
      <c r="F330" s="1" t="s">
        <v>1060</v>
      </c>
      <c r="G330" t="s">
        <v>24</v>
      </c>
      <c r="H330">
        <v>4</v>
      </c>
      <c r="I330" t="s">
        <v>25</v>
      </c>
      <c r="J330">
        <v>2</v>
      </c>
      <c r="K330" t="s">
        <v>52</v>
      </c>
      <c r="L330">
        <v>31</v>
      </c>
      <c r="M330" t="s">
        <v>27</v>
      </c>
      <c r="N330" t="s">
        <v>28</v>
      </c>
      <c r="O330">
        <v>1</v>
      </c>
      <c r="P330" t="s">
        <v>29</v>
      </c>
      <c r="Q330">
        <v>1</v>
      </c>
      <c r="R330" t="s">
        <v>27</v>
      </c>
      <c r="S330" t="s">
        <v>30</v>
      </c>
      <c r="T330" t="s">
        <v>31</v>
      </c>
    </row>
    <row r="331" spans="1:20" x14ac:dyDescent="0.35">
      <c r="A331" t="s">
        <v>389</v>
      </c>
      <c r="B331">
        <v>6</v>
      </c>
      <c r="C331" t="s">
        <v>33</v>
      </c>
      <c r="D331" t="s">
        <v>22</v>
      </c>
      <c r="E331">
        <v>117480</v>
      </c>
      <c r="F331" s="2" t="s">
        <v>1060</v>
      </c>
      <c r="G331" t="s">
        <v>24</v>
      </c>
      <c r="H331">
        <v>4</v>
      </c>
      <c r="I331" t="s">
        <v>25</v>
      </c>
      <c r="J331">
        <v>4</v>
      </c>
      <c r="K331" t="s">
        <v>52</v>
      </c>
      <c r="L331">
        <v>28</v>
      </c>
      <c r="M331" t="s">
        <v>27</v>
      </c>
      <c r="N331" t="s">
        <v>28</v>
      </c>
      <c r="O331">
        <v>1</v>
      </c>
      <c r="P331" t="s">
        <v>29</v>
      </c>
      <c r="Q331">
        <v>2</v>
      </c>
      <c r="R331" t="s">
        <v>27</v>
      </c>
      <c r="S331" t="s">
        <v>30</v>
      </c>
      <c r="T331" t="s">
        <v>31</v>
      </c>
    </row>
    <row r="332" spans="1:20" x14ac:dyDescent="0.35">
      <c r="A332" t="s">
        <v>390</v>
      </c>
      <c r="B332">
        <v>24</v>
      </c>
      <c r="C332" t="s">
        <v>21</v>
      </c>
      <c r="D332" t="s">
        <v>51</v>
      </c>
      <c r="E332">
        <v>727650</v>
      </c>
      <c r="F332" s="1" t="s">
        <v>1060</v>
      </c>
      <c r="G332" t="s">
        <v>57</v>
      </c>
      <c r="H332">
        <v>2</v>
      </c>
      <c r="I332" t="s">
        <v>25</v>
      </c>
      <c r="J332">
        <v>4</v>
      </c>
      <c r="K332" t="s">
        <v>47</v>
      </c>
      <c r="L332">
        <v>75</v>
      </c>
      <c r="M332" t="s">
        <v>27</v>
      </c>
      <c r="N332" t="s">
        <v>43</v>
      </c>
      <c r="O332">
        <v>2</v>
      </c>
      <c r="P332" t="s">
        <v>54</v>
      </c>
      <c r="Q332">
        <v>1</v>
      </c>
      <c r="R332" t="s">
        <v>30</v>
      </c>
      <c r="S332" t="s">
        <v>30</v>
      </c>
      <c r="T332" t="s">
        <v>31</v>
      </c>
    </row>
    <row r="333" spans="1:20" x14ac:dyDescent="0.35">
      <c r="A333" t="s">
        <v>391</v>
      </c>
      <c r="B333">
        <v>18</v>
      </c>
      <c r="C333" t="s">
        <v>21</v>
      </c>
      <c r="D333" t="s">
        <v>37</v>
      </c>
      <c r="E333">
        <v>205040</v>
      </c>
      <c r="F333" s="2" t="s">
        <v>1063</v>
      </c>
      <c r="G333" t="s">
        <v>34</v>
      </c>
      <c r="H333">
        <v>4</v>
      </c>
      <c r="I333" t="s">
        <v>35</v>
      </c>
      <c r="J333">
        <v>2</v>
      </c>
      <c r="K333" t="s">
        <v>26</v>
      </c>
      <c r="L333">
        <v>30</v>
      </c>
      <c r="M333" t="s">
        <v>27</v>
      </c>
      <c r="N333" t="s">
        <v>28</v>
      </c>
      <c r="O333">
        <v>2</v>
      </c>
      <c r="P333" t="s">
        <v>29</v>
      </c>
      <c r="Q333">
        <v>1</v>
      </c>
      <c r="R333" t="s">
        <v>27</v>
      </c>
      <c r="S333" t="s">
        <v>30</v>
      </c>
      <c r="T333" t="s">
        <v>31</v>
      </c>
    </row>
    <row r="334" spans="1:20" x14ac:dyDescent="0.35">
      <c r="A334" t="s">
        <v>392</v>
      </c>
      <c r="B334">
        <v>60</v>
      </c>
      <c r="C334" t="s">
        <v>33</v>
      </c>
      <c r="D334" t="s">
        <v>46</v>
      </c>
      <c r="E334">
        <v>814880</v>
      </c>
      <c r="F334" s="1" t="s">
        <v>1063</v>
      </c>
      <c r="G334" t="s">
        <v>59</v>
      </c>
      <c r="H334">
        <v>4</v>
      </c>
      <c r="I334" t="s">
        <v>35</v>
      </c>
      <c r="J334">
        <v>2</v>
      </c>
      <c r="K334" t="s">
        <v>42</v>
      </c>
      <c r="L334">
        <v>24</v>
      </c>
      <c r="M334" t="s">
        <v>27</v>
      </c>
      <c r="N334" t="s">
        <v>28</v>
      </c>
      <c r="O334">
        <v>1</v>
      </c>
      <c r="P334" t="s">
        <v>54</v>
      </c>
      <c r="Q334">
        <v>1</v>
      </c>
      <c r="R334" t="s">
        <v>27</v>
      </c>
      <c r="S334" t="s">
        <v>30</v>
      </c>
      <c r="T334" t="s">
        <v>31</v>
      </c>
    </row>
    <row r="335" spans="1:20" x14ac:dyDescent="0.35">
      <c r="A335" t="s">
        <v>393</v>
      </c>
      <c r="B335">
        <v>48</v>
      </c>
      <c r="C335" t="s">
        <v>21</v>
      </c>
      <c r="D335" t="s">
        <v>51</v>
      </c>
      <c r="E335">
        <v>1274900</v>
      </c>
      <c r="F335" s="2" t="s">
        <v>1063</v>
      </c>
      <c r="G335" t="s">
        <v>34</v>
      </c>
      <c r="H335">
        <v>2</v>
      </c>
      <c r="I335" t="s">
        <v>35</v>
      </c>
      <c r="J335">
        <v>4</v>
      </c>
      <c r="K335" t="s">
        <v>52</v>
      </c>
      <c r="L335">
        <v>24</v>
      </c>
      <c r="M335" t="s">
        <v>69</v>
      </c>
      <c r="N335" t="s">
        <v>53</v>
      </c>
      <c r="O335">
        <v>2</v>
      </c>
      <c r="P335" t="s">
        <v>39</v>
      </c>
      <c r="Q335">
        <v>1</v>
      </c>
      <c r="R335" t="s">
        <v>27</v>
      </c>
      <c r="S335" t="s">
        <v>30</v>
      </c>
      <c r="T335" t="s">
        <v>31</v>
      </c>
    </row>
    <row r="336" spans="1:20" x14ac:dyDescent="0.35">
      <c r="A336" t="s">
        <v>394</v>
      </c>
      <c r="B336">
        <v>24</v>
      </c>
      <c r="C336" t="s">
        <v>68</v>
      </c>
      <c r="D336" t="s">
        <v>41</v>
      </c>
      <c r="E336">
        <v>452100</v>
      </c>
      <c r="F336" s="1" t="s">
        <v>1060</v>
      </c>
      <c r="G336" t="s">
        <v>24</v>
      </c>
      <c r="H336">
        <v>3</v>
      </c>
      <c r="I336" t="s">
        <v>25</v>
      </c>
      <c r="J336">
        <v>4</v>
      </c>
      <c r="K336" t="s">
        <v>47</v>
      </c>
      <c r="L336">
        <v>23</v>
      </c>
      <c r="M336" t="s">
        <v>69</v>
      </c>
      <c r="N336" t="s">
        <v>53</v>
      </c>
      <c r="O336">
        <v>2</v>
      </c>
      <c r="P336" t="s">
        <v>29</v>
      </c>
      <c r="Q336">
        <v>2</v>
      </c>
      <c r="R336" t="s">
        <v>27</v>
      </c>
      <c r="S336" t="s">
        <v>30</v>
      </c>
      <c r="T336" t="s">
        <v>31</v>
      </c>
    </row>
    <row r="337" spans="1:20" x14ac:dyDescent="0.35">
      <c r="A337" t="s">
        <v>395</v>
      </c>
      <c r="B337">
        <v>6</v>
      </c>
      <c r="C337" t="s">
        <v>21</v>
      </c>
      <c r="D337" t="s">
        <v>41</v>
      </c>
      <c r="E337">
        <v>372240</v>
      </c>
      <c r="F337" s="2" t="s">
        <v>1060</v>
      </c>
      <c r="G337" t="s">
        <v>34</v>
      </c>
      <c r="H337">
        <v>1</v>
      </c>
      <c r="I337" t="s">
        <v>25</v>
      </c>
      <c r="J337">
        <v>4</v>
      </c>
      <c r="K337" t="s">
        <v>26</v>
      </c>
      <c r="L337">
        <v>44</v>
      </c>
      <c r="M337" t="s">
        <v>27</v>
      </c>
      <c r="N337" t="s">
        <v>53</v>
      </c>
      <c r="O337">
        <v>1</v>
      </c>
      <c r="P337" t="s">
        <v>54</v>
      </c>
      <c r="Q337">
        <v>1</v>
      </c>
      <c r="R337" t="s">
        <v>30</v>
      </c>
      <c r="S337" t="s">
        <v>30</v>
      </c>
      <c r="T337" t="s">
        <v>31</v>
      </c>
    </row>
    <row r="338" spans="1:20" x14ac:dyDescent="0.35">
      <c r="A338" t="s">
        <v>396</v>
      </c>
      <c r="B338">
        <v>13</v>
      </c>
      <c r="C338" t="s">
        <v>33</v>
      </c>
      <c r="D338" t="s">
        <v>22</v>
      </c>
      <c r="E338">
        <v>231110</v>
      </c>
      <c r="F338" s="1" t="s">
        <v>1060</v>
      </c>
      <c r="G338" t="s">
        <v>59</v>
      </c>
      <c r="H338">
        <v>2</v>
      </c>
      <c r="I338" t="s">
        <v>35</v>
      </c>
      <c r="J338">
        <v>4</v>
      </c>
      <c r="K338" t="s">
        <v>42</v>
      </c>
      <c r="L338">
        <v>23</v>
      </c>
      <c r="M338" t="s">
        <v>27</v>
      </c>
      <c r="N338" t="s">
        <v>28</v>
      </c>
      <c r="O338">
        <v>1</v>
      </c>
      <c r="P338" t="s">
        <v>39</v>
      </c>
      <c r="Q338">
        <v>1</v>
      </c>
      <c r="R338" t="s">
        <v>27</v>
      </c>
      <c r="S338" t="s">
        <v>30</v>
      </c>
      <c r="T338" t="s">
        <v>31</v>
      </c>
    </row>
    <row r="339" spans="1:20" x14ac:dyDescent="0.35">
      <c r="A339" t="s">
        <v>397</v>
      </c>
      <c r="B339">
        <v>15</v>
      </c>
      <c r="C339" t="s">
        <v>33</v>
      </c>
      <c r="D339" t="s">
        <v>94</v>
      </c>
      <c r="E339">
        <v>140250</v>
      </c>
      <c r="F339" s="2" t="s">
        <v>23</v>
      </c>
      <c r="G339" t="s">
        <v>34</v>
      </c>
      <c r="H339">
        <v>4</v>
      </c>
      <c r="I339" t="s">
        <v>35</v>
      </c>
      <c r="J339">
        <v>2</v>
      </c>
      <c r="K339" t="s">
        <v>52</v>
      </c>
      <c r="L339">
        <v>24</v>
      </c>
      <c r="M339" t="s">
        <v>27</v>
      </c>
      <c r="N339" t="s">
        <v>53</v>
      </c>
      <c r="O339">
        <v>1</v>
      </c>
      <c r="P339" t="s">
        <v>29</v>
      </c>
      <c r="Q339">
        <v>1</v>
      </c>
      <c r="R339" t="s">
        <v>27</v>
      </c>
      <c r="S339" t="s">
        <v>30</v>
      </c>
      <c r="T339" t="s">
        <v>31</v>
      </c>
    </row>
    <row r="340" spans="1:20" x14ac:dyDescent="0.35">
      <c r="A340" t="s">
        <v>398</v>
      </c>
      <c r="B340">
        <v>24</v>
      </c>
      <c r="C340" t="s">
        <v>33</v>
      </c>
      <c r="D340" t="s">
        <v>41</v>
      </c>
      <c r="E340">
        <v>458590</v>
      </c>
      <c r="F340" s="1" t="s">
        <v>1060</v>
      </c>
      <c r="G340" t="s">
        <v>34</v>
      </c>
      <c r="H340">
        <v>4</v>
      </c>
      <c r="I340" t="s">
        <v>25</v>
      </c>
      <c r="J340">
        <v>4</v>
      </c>
      <c r="K340" t="s">
        <v>42</v>
      </c>
      <c r="L340">
        <v>28</v>
      </c>
      <c r="M340" t="s">
        <v>27</v>
      </c>
      <c r="N340" t="s">
        <v>28</v>
      </c>
      <c r="O340">
        <v>1</v>
      </c>
      <c r="P340" t="s">
        <v>29</v>
      </c>
      <c r="Q340">
        <v>1</v>
      </c>
      <c r="R340" t="s">
        <v>27</v>
      </c>
      <c r="S340" t="s">
        <v>30</v>
      </c>
      <c r="T340" t="s">
        <v>31</v>
      </c>
    </row>
    <row r="341" spans="1:20" x14ac:dyDescent="0.35">
      <c r="A341" t="s">
        <v>399</v>
      </c>
      <c r="B341">
        <v>10</v>
      </c>
      <c r="C341" t="s">
        <v>33</v>
      </c>
      <c r="D341" t="s">
        <v>41</v>
      </c>
      <c r="E341">
        <v>167310</v>
      </c>
      <c r="F341" s="2" t="s">
        <v>1060</v>
      </c>
      <c r="G341" t="s">
        <v>34</v>
      </c>
      <c r="H341">
        <v>4</v>
      </c>
      <c r="I341" t="s">
        <v>25</v>
      </c>
      <c r="J341">
        <v>2</v>
      </c>
      <c r="K341" t="s">
        <v>52</v>
      </c>
      <c r="L341">
        <v>31</v>
      </c>
      <c r="M341" t="s">
        <v>27</v>
      </c>
      <c r="N341" t="s">
        <v>28</v>
      </c>
      <c r="O341">
        <v>1</v>
      </c>
      <c r="P341" t="s">
        <v>39</v>
      </c>
      <c r="Q341">
        <v>1</v>
      </c>
      <c r="R341" t="s">
        <v>27</v>
      </c>
      <c r="S341" t="s">
        <v>30</v>
      </c>
      <c r="T341" t="s">
        <v>31</v>
      </c>
    </row>
    <row r="342" spans="1:20" x14ac:dyDescent="0.35">
      <c r="A342" t="s">
        <v>400</v>
      </c>
      <c r="B342">
        <v>24</v>
      </c>
      <c r="C342" t="s">
        <v>21</v>
      </c>
      <c r="D342" t="s">
        <v>37</v>
      </c>
      <c r="E342">
        <v>631730</v>
      </c>
      <c r="F342" s="1" t="s">
        <v>1060</v>
      </c>
      <c r="G342" t="s">
        <v>59</v>
      </c>
      <c r="H342">
        <v>2</v>
      </c>
      <c r="I342" t="s">
        <v>35</v>
      </c>
      <c r="J342">
        <v>4</v>
      </c>
      <c r="K342" t="s">
        <v>47</v>
      </c>
      <c r="L342">
        <v>24</v>
      </c>
      <c r="M342" t="s">
        <v>27</v>
      </c>
      <c r="N342" t="s">
        <v>43</v>
      </c>
      <c r="O342">
        <v>2</v>
      </c>
      <c r="P342" t="s">
        <v>29</v>
      </c>
      <c r="Q342">
        <v>1</v>
      </c>
      <c r="R342" t="s">
        <v>30</v>
      </c>
      <c r="S342" t="s">
        <v>30</v>
      </c>
      <c r="T342" t="s">
        <v>31</v>
      </c>
    </row>
    <row r="343" spans="1:20" x14ac:dyDescent="0.35">
      <c r="A343" t="s">
        <v>401</v>
      </c>
      <c r="B343">
        <v>21</v>
      </c>
      <c r="C343" t="s">
        <v>33</v>
      </c>
      <c r="D343" t="s">
        <v>41</v>
      </c>
      <c r="E343">
        <v>395890</v>
      </c>
      <c r="F343" s="2" t="s">
        <v>1060</v>
      </c>
      <c r="G343" t="s">
        <v>38</v>
      </c>
      <c r="H343">
        <v>1</v>
      </c>
      <c r="I343" t="s">
        <v>35</v>
      </c>
      <c r="J343">
        <v>4</v>
      </c>
      <c r="K343" t="s">
        <v>52</v>
      </c>
      <c r="L343">
        <v>26</v>
      </c>
      <c r="M343" t="s">
        <v>27</v>
      </c>
      <c r="N343" t="s">
        <v>53</v>
      </c>
      <c r="O343">
        <v>1</v>
      </c>
      <c r="P343" t="s">
        <v>39</v>
      </c>
      <c r="Q343">
        <v>1</v>
      </c>
      <c r="R343" t="s">
        <v>27</v>
      </c>
      <c r="S343" t="s">
        <v>30</v>
      </c>
      <c r="T343" t="s">
        <v>31</v>
      </c>
    </row>
    <row r="344" spans="1:20" x14ac:dyDescent="0.35">
      <c r="A344" t="s">
        <v>402</v>
      </c>
      <c r="B344">
        <v>18</v>
      </c>
      <c r="C344" t="s">
        <v>33</v>
      </c>
      <c r="D344" t="s">
        <v>22</v>
      </c>
      <c r="E344">
        <v>353430</v>
      </c>
      <c r="F344" s="1" t="s">
        <v>1061</v>
      </c>
      <c r="G344" t="s">
        <v>59</v>
      </c>
      <c r="H344">
        <v>1</v>
      </c>
      <c r="I344" t="s">
        <v>25</v>
      </c>
      <c r="J344">
        <v>3</v>
      </c>
      <c r="K344" t="s">
        <v>26</v>
      </c>
      <c r="L344">
        <v>25</v>
      </c>
      <c r="M344" t="s">
        <v>27</v>
      </c>
      <c r="N344" t="s">
        <v>53</v>
      </c>
      <c r="O344">
        <v>1</v>
      </c>
      <c r="P344" t="s">
        <v>29</v>
      </c>
      <c r="Q344">
        <v>1</v>
      </c>
      <c r="R344" t="s">
        <v>27</v>
      </c>
      <c r="S344" t="s">
        <v>30</v>
      </c>
      <c r="T344" t="s">
        <v>31</v>
      </c>
    </row>
    <row r="345" spans="1:20" x14ac:dyDescent="0.35">
      <c r="A345" t="s">
        <v>403</v>
      </c>
      <c r="B345">
        <v>18</v>
      </c>
      <c r="C345" t="s">
        <v>33</v>
      </c>
      <c r="D345" t="s">
        <v>61</v>
      </c>
      <c r="E345">
        <v>488290</v>
      </c>
      <c r="F345" s="2" t="s">
        <v>1060</v>
      </c>
      <c r="G345" t="s">
        <v>24</v>
      </c>
      <c r="H345">
        <v>1</v>
      </c>
      <c r="I345" t="s">
        <v>25</v>
      </c>
      <c r="J345">
        <v>1</v>
      </c>
      <c r="K345" t="s">
        <v>26</v>
      </c>
      <c r="L345">
        <v>33</v>
      </c>
      <c r="M345" t="s">
        <v>69</v>
      </c>
      <c r="N345" t="s">
        <v>28</v>
      </c>
      <c r="O345">
        <v>1</v>
      </c>
      <c r="P345" t="s">
        <v>54</v>
      </c>
      <c r="Q345">
        <v>1</v>
      </c>
      <c r="R345" t="s">
        <v>30</v>
      </c>
      <c r="S345" t="s">
        <v>30</v>
      </c>
      <c r="T345" t="s">
        <v>31</v>
      </c>
    </row>
    <row r="346" spans="1:20" x14ac:dyDescent="0.35">
      <c r="A346" t="s">
        <v>404</v>
      </c>
      <c r="B346">
        <v>10</v>
      </c>
      <c r="C346" t="s">
        <v>33</v>
      </c>
      <c r="D346" t="s">
        <v>46</v>
      </c>
      <c r="E346">
        <v>434390</v>
      </c>
      <c r="F346" s="1" t="s">
        <v>1060</v>
      </c>
      <c r="G346" t="s">
        <v>59</v>
      </c>
      <c r="H346">
        <v>1</v>
      </c>
      <c r="I346" t="s">
        <v>25</v>
      </c>
      <c r="J346">
        <v>1</v>
      </c>
      <c r="K346" t="s">
        <v>42</v>
      </c>
      <c r="L346">
        <v>37</v>
      </c>
      <c r="M346" t="s">
        <v>27</v>
      </c>
      <c r="N346" t="s">
        <v>28</v>
      </c>
      <c r="O346">
        <v>1</v>
      </c>
      <c r="P346" t="s">
        <v>39</v>
      </c>
      <c r="Q346">
        <v>2</v>
      </c>
      <c r="R346" t="s">
        <v>27</v>
      </c>
      <c r="S346" t="s">
        <v>30</v>
      </c>
      <c r="T346" t="s">
        <v>31</v>
      </c>
    </row>
    <row r="347" spans="1:20" x14ac:dyDescent="0.35">
      <c r="A347" t="s">
        <v>405</v>
      </c>
      <c r="B347">
        <v>15</v>
      </c>
      <c r="C347" t="s">
        <v>21</v>
      </c>
      <c r="D347" t="s">
        <v>22</v>
      </c>
      <c r="E347">
        <v>160490</v>
      </c>
      <c r="F347" s="2" t="s">
        <v>1060</v>
      </c>
      <c r="G347" t="s">
        <v>34</v>
      </c>
      <c r="H347">
        <v>4</v>
      </c>
      <c r="I347" t="s">
        <v>35</v>
      </c>
      <c r="J347">
        <v>2</v>
      </c>
      <c r="K347" t="s">
        <v>52</v>
      </c>
      <c r="L347">
        <v>43</v>
      </c>
      <c r="M347" t="s">
        <v>27</v>
      </c>
      <c r="N347" t="s">
        <v>28</v>
      </c>
      <c r="O347">
        <v>1</v>
      </c>
      <c r="P347" t="s">
        <v>39</v>
      </c>
      <c r="Q347">
        <v>1</v>
      </c>
      <c r="R347" t="s">
        <v>27</v>
      </c>
      <c r="S347" t="s">
        <v>30</v>
      </c>
      <c r="T347" t="s">
        <v>31</v>
      </c>
    </row>
    <row r="348" spans="1:20" x14ac:dyDescent="0.35">
      <c r="A348" t="s">
        <v>406</v>
      </c>
      <c r="B348">
        <v>13</v>
      </c>
      <c r="C348" t="s">
        <v>21</v>
      </c>
      <c r="D348" t="s">
        <v>22</v>
      </c>
      <c r="E348">
        <v>97020</v>
      </c>
      <c r="F348" s="1" t="s">
        <v>1060</v>
      </c>
      <c r="G348" t="s">
        <v>59</v>
      </c>
      <c r="H348">
        <v>4</v>
      </c>
      <c r="I348" t="s">
        <v>25</v>
      </c>
      <c r="J348">
        <v>4</v>
      </c>
      <c r="K348" t="s">
        <v>26</v>
      </c>
      <c r="L348">
        <v>23</v>
      </c>
      <c r="M348" t="s">
        <v>27</v>
      </c>
      <c r="N348" t="s">
        <v>28</v>
      </c>
      <c r="O348">
        <v>2</v>
      </c>
      <c r="P348" t="s">
        <v>29</v>
      </c>
      <c r="Q348">
        <v>1</v>
      </c>
      <c r="R348" t="s">
        <v>27</v>
      </c>
      <c r="S348" t="s">
        <v>30</v>
      </c>
      <c r="T348" t="s">
        <v>31</v>
      </c>
    </row>
    <row r="349" spans="1:20" x14ac:dyDescent="0.35">
      <c r="A349" t="s">
        <v>407</v>
      </c>
      <c r="B349">
        <v>24</v>
      </c>
      <c r="C349" t="s">
        <v>33</v>
      </c>
      <c r="D349" t="s">
        <v>22</v>
      </c>
      <c r="E349">
        <v>413380</v>
      </c>
      <c r="F349" s="2" t="s">
        <v>1061</v>
      </c>
      <c r="G349" t="s">
        <v>57</v>
      </c>
      <c r="H349">
        <v>1</v>
      </c>
      <c r="I349" t="s">
        <v>35</v>
      </c>
      <c r="J349">
        <v>4</v>
      </c>
      <c r="K349" t="s">
        <v>47</v>
      </c>
      <c r="L349">
        <v>23</v>
      </c>
      <c r="M349" t="s">
        <v>27</v>
      </c>
      <c r="N349" t="s">
        <v>53</v>
      </c>
      <c r="O349">
        <v>1</v>
      </c>
      <c r="P349" t="s">
        <v>105</v>
      </c>
      <c r="Q349">
        <v>1</v>
      </c>
      <c r="R349" t="s">
        <v>27</v>
      </c>
      <c r="S349" t="s">
        <v>30</v>
      </c>
      <c r="T349" t="s">
        <v>31</v>
      </c>
    </row>
    <row r="350" spans="1:20" x14ac:dyDescent="0.35">
      <c r="A350" t="s">
        <v>408</v>
      </c>
      <c r="B350">
        <v>6</v>
      </c>
      <c r="C350" t="s">
        <v>45</v>
      </c>
      <c r="D350" t="s">
        <v>61</v>
      </c>
      <c r="E350">
        <v>191730</v>
      </c>
      <c r="F350" s="1" t="s">
        <v>1063</v>
      </c>
      <c r="G350" t="s">
        <v>34</v>
      </c>
      <c r="H350">
        <v>1</v>
      </c>
      <c r="I350" t="s">
        <v>25</v>
      </c>
      <c r="J350">
        <v>2</v>
      </c>
      <c r="K350" t="s">
        <v>26</v>
      </c>
      <c r="L350">
        <v>34</v>
      </c>
      <c r="M350" t="s">
        <v>27</v>
      </c>
      <c r="N350" t="s">
        <v>28</v>
      </c>
      <c r="O350">
        <v>2</v>
      </c>
      <c r="P350" t="s">
        <v>39</v>
      </c>
      <c r="Q350">
        <v>1</v>
      </c>
      <c r="R350" t="s">
        <v>27</v>
      </c>
      <c r="S350" t="s">
        <v>30</v>
      </c>
      <c r="T350" t="s">
        <v>31</v>
      </c>
    </row>
    <row r="351" spans="1:20" x14ac:dyDescent="0.35">
      <c r="A351" t="s">
        <v>409</v>
      </c>
      <c r="B351">
        <v>9</v>
      </c>
      <c r="C351" t="s">
        <v>21</v>
      </c>
      <c r="D351" t="s">
        <v>37</v>
      </c>
      <c r="E351">
        <v>124960</v>
      </c>
      <c r="F351" s="2" t="s">
        <v>1062</v>
      </c>
      <c r="G351" t="s">
        <v>24</v>
      </c>
      <c r="H351">
        <v>4</v>
      </c>
      <c r="I351" t="s">
        <v>25</v>
      </c>
      <c r="J351">
        <v>3</v>
      </c>
      <c r="K351" t="s">
        <v>47</v>
      </c>
      <c r="L351">
        <v>32</v>
      </c>
      <c r="M351" t="s">
        <v>27</v>
      </c>
      <c r="N351" t="s">
        <v>43</v>
      </c>
      <c r="O351">
        <v>2</v>
      </c>
      <c r="P351" t="s">
        <v>29</v>
      </c>
      <c r="Q351">
        <v>2</v>
      </c>
      <c r="R351" t="s">
        <v>27</v>
      </c>
      <c r="S351" t="s">
        <v>30</v>
      </c>
      <c r="T351" t="s">
        <v>31</v>
      </c>
    </row>
    <row r="352" spans="1:20" x14ac:dyDescent="0.35">
      <c r="A352" t="s">
        <v>410</v>
      </c>
      <c r="B352">
        <v>9</v>
      </c>
      <c r="C352" t="s">
        <v>33</v>
      </c>
      <c r="D352" t="s">
        <v>94</v>
      </c>
      <c r="E352">
        <v>135960</v>
      </c>
      <c r="F352" s="1" t="s">
        <v>1060</v>
      </c>
      <c r="G352" t="s">
        <v>59</v>
      </c>
      <c r="H352">
        <v>1</v>
      </c>
      <c r="I352" t="s">
        <v>35</v>
      </c>
      <c r="J352">
        <v>4</v>
      </c>
      <c r="K352" t="s">
        <v>26</v>
      </c>
      <c r="L352">
        <v>23</v>
      </c>
      <c r="M352" t="s">
        <v>27</v>
      </c>
      <c r="N352" t="s">
        <v>53</v>
      </c>
      <c r="O352">
        <v>1</v>
      </c>
      <c r="P352" t="s">
        <v>29</v>
      </c>
      <c r="Q352">
        <v>1</v>
      </c>
      <c r="R352" t="s">
        <v>30</v>
      </c>
      <c r="S352" t="s">
        <v>30</v>
      </c>
      <c r="T352" t="s">
        <v>31</v>
      </c>
    </row>
    <row r="353" spans="1:20" x14ac:dyDescent="0.35">
      <c r="A353" t="s">
        <v>411</v>
      </c>
      <c r="B353">
        <v>9</v>
      </c>
      <c r="C353" t="s">
        <v>33</v>
      </c>
      <c r="D353" t="s">
        <v>41</v>
      </c>
      <c r="E353">
        <v>105490</v>
      </c>
      <c r="F353" s="2" t="s">
        <v>1060</v>
      </c>
      <c r="G353" t="s">
        <v>34</v>
      </c>
      <c r="H353">
        <v>1</v>
      </c>
      <c r="I353" t="s">
        <v>35</v>
      </c>
      <c r="J353">
        <v>2</v>
      </c>
      <c r="K353" t="s">
        <v>52</v>
      </c>
      <c r="L353">
        <v>29</v>
      </c>
      <c r="M353" t="s">
        <v>27</v>
      </c>
      <c r="N353" t="s">
        <v>28</v>
      </c>
      <c r="O353">
        <v>1</v>
      </c>
      <c r="P353" t="s">
        <v>29</v>
      </c>
      <c r="Q353">
        <v>1</v>
      </c>
      <c r="R353" t="s">
        <v>27</v>
      </c>
      <c r="S353" t="s">
        <v>75</v>
      </c>
      <c r="T353" t="s">
        <v>31</v>
      </c>
    </row>
    <row r="354" spans="1:20" x14ac:dyDescent="0.35">
      <c r="A354" t="s">
        <v>412</v>
      </c>
      <c r="B354">
        <v>18</v>
      </c>
      <c r="C354" t="s">
        <v>21</v>
      </c>
      <c r="D354" t="s">
        <v>51</v>
      </c>
      <c r="E354">
        <v>355190</v>
      </c>
      <c r="F354" s="1" t="s">
        <v>23</v>
      </c>
      <c r="G354" t="s">
        <v>57</v>
      </c>
      <c r="H354">
        <v>2</v>
      </c>
      <c r="I354" t="s">
        <v>25</v>
      </c>
      <c r="J354">
        <v>4</v>
      </c>
      <c r="K354" t="s">
        <v>47</v>
      </c>
      <c r="L354">
        <v>38</v>
      </c>
      <c r="M354" t="s">
        <v>27</v>
      </c>
      <c r="N354" t="s">
        <v>28</v>
      </c>
      <c r="O354">
        <v>1</v>
      </c>
      <c r="P354" t="s">
        <v>54</v>
      </c>
      <c r="Q354">
        <v>1</v>
      </c>
      <c r="R354" t="s">
        <v>30</v>
      </c>
      <c r="S354" t="s">
        <v>30</v>
      </c>
      <c r="T354" t="s">
        <v>31</v>
      </c>
    </row>
    <row r="355" spans="1:20" x14ac:dyDescent="0.35">
      <c r="A355" t="s">
        <v>413</v>
      </c>
      <c r="B355">
        <v>12</v>
      </c>
      <c r="C355" t="s">
        <v>68</v>
      </c>
      <c r="D355" t="s">
        <v>22</v>
      </c>
      <c r="E355">
        <v>681890</v>
      </c>
      <c r="F355" s="2" t="s">
        <v>1060</v>
      </c>
      <c r="G355" t="s">
        <v>34</v>
      </c>
      <c r="H355">
        <v>4</v>
      </c>
      <c r="I355" t="s">
        <v>25</v>
      </c>
      <c r="J355">
        <v>2</v>
      </c>
      <c r="K355" t="s">
        <v>42</v>
      </c>
      <c r="L355">
        <v>28</v>
      </c>
      <c r="M355" t="s">
        <v>27</v>
      </c>
      <c r="N355" t="s">
        <v>53</v>
      </c>
      <c r="O355">
        <v>2</v>
      </c>
      <c r="P355" t="s">
        <v>29</v>
      </c>
      <c r="Q355">
        <v>1</v>
      </c>
      <c r="R355" t="s">
        <v>30</v>
      </c>
      <c r="S355" t="s">
        <v>30</v>
      </c>
      <c r="T355" t="s">
        <v>31</v>
      </c>
    </row>
    <row r="356" spans="1:20" x14ac:dyDescent="0.35">
      <c r="A356" t="s">
        <v>414</v>
      </c>
      <c r="B356">
        <v>10</v>
      </c>
      <c r="C356" t="s">
        <v>33</v>
      </c>
      <c r="D356" t="s">
        <v>37</v>
      </c>
      <c r="E356">
        <v>79970</v>
      </c>
      <c r="F356" s="1" t="s">
        <v>1061</v>
      </c>
      <c r="G356" t="s">
        <v>24</v>
      </c>
      <c r="H356">
        <v>4</v>
      </c>
      <c r="I356" t="s">
        <v>25</v>
      </c>
      <c r="J356">
        <v>4</v>
      </c>
      <c r="K356" t="s">
        <v>47</v>
      </c>
      <c r="L356">
        <v>46</v>
      </c>
      <c r="M356" t="s">
        <v>27</v>
      </c>
      <c r="N356" t="s">
        <v>43</v>
      </c>
      <c r="O356">
        <v>1</v>
      </c>
      <c r="P356" t="s">
        <v>29</v>
      </c>
      <c r="Q356">
        <v>1</v>
      </c>
      <c r="R356" t="s">
        <v>30</v>
      </c>
      <c r="S356" t="s">
        <v>30</v>
      </c>
      <c r="T356" t="s">
        <v>31</v>
      </c>
    </row>
    <row r="357" spans="1:20" x14ac:dyDescent="0.35">
      <c r="A357" t="s">
        <v>415</v>
      </c>
      <c r="B357">
        <v>24</v>
      </c>
      <c r="C357" t="s">
        <v>33</v>
      </c>
      <c r="D357" t="s">
        <v>46</v>
      </c>
      <c r="E357">
        <v>137060</v>
      </c>
      <c r="F357" s="2" t="s">
        <v>1060</v>
      </c>
      <c r="G357" t="s">
        <v>59</v>
      </c>
      <c r="H357">
        <v>4</v>
      </c>
      <c r="I357" t="s">
        <v>25</v>
      </c>
      <c r="J357">
        <v>2</v>
      </c>
      <c r="K357" t="s">
        <v>26</v>
      </c>
      <c r="L357">
        <v>23</v>
      </c>
      <c r="M357" t="s">
        <v>86</v>
      </c>
      <c r="N357" t="s">
        <v>28</v>
      </c>
      <c r="O357">
        <v>1</v>
      </c>
      <c r="P357" t="s">
        <v>39</v>
      </c>
      <c r="Q357">
        <v>1</v>
      </c>
      <c r="R357" t="s">
        <v>27</v>
      </c>
      <c r="S357" t="s">
        <v>30</v>
      </c>
      <c r="T357" t="s">
        <v>31</v>
      </c>
    </row>
    <row r="358" spans="1:20" x14ac:dyDescent="0.35">
      <c r="A358" t="s">
        <v>416</v>
      </c>
      <c r="B358">
        <v>12</v>
      </c>
      <c r="C358" t="s">
        <v>21</v>
      </c>
      <c r="D358" t="s">
        <v>22</v>
      </c>
      <c r="E358">
        <v>256410</v>
      </c>
      <c r="F358" s="1" t="s">
        <v>23</v>
      </c>
      <c r="G358" t="s">
        <v>24</v>
      </c>
      <c r="H358">
        <v>1</v>
      </c>
      <c r="I358" t="s">
        <v>25</v>
      </c>
      <c r="J358">
        <v>4</v>
      </c>
      <c r="K358" t="s">
        <v>26</v>
      </c>
      <c r="L358">
        <v>49</v>
      </c>
      <c r="M358" t="s">
        <v>27</v>
      </c>
      <c r="N358" t="s">
        <v>28</v>
      </c>
      <c r="O358">
        <v>1</v>
      </c>
      <c r="P358" t="s">
        <v>29</v>
      </c>
      <c r="Q358">
        <v>1</v>
      </c>
      <c r="R358" t="s">
        <v>30</v>
      </c>
      <c r="S358" t="s">
        <v>30</v>
      </c>
      <c r="T358" t="s">
        <v>31</v>
      </c>
    </row>
    <row r="359" spans="1:20" x14ac:dyDescent="0.35">
      <c r="A359" t="s">
        <v>417</v>
      </c>
      <c r="B359">
        <v>36</v>
      </c>
      <c r="C359" t="s">
        <v>45</v>
      </c>
      <c r="D359" t="s">
        <v>22</v>
      </c>
      <c r="E359">
        <v>490930</v>
      </c>
      <c r="F359" s="2" t="s">
        <v>1060</v>
      </c>
      <c r="G359" t="s">
        <v>34</v>
      </c>
      <c r="H359">
        <v>4</v>
      </c>
      <c r="I359" t="s">
        <v>25</v>
      </c>
      <c r="J359">
        <v>2</v>
      </c>
      <c r="K359" t="s">
        <v>52</v>
      </c>
      <c r="L359">
        <v>26</v>
      </c>
      <c r="M359" t="s">
        <v>27</v>
      </c>
      <c r="N359" t="s">
        <v>28</v>
      </c>
      <c r="O359">
        <v>2</v>
      </c>
      <c r="P359" t="s">
        <v>54</v>
      </c>
      <c r="Q359">
        <v>1</v>
      </c>
      <c r="R359" t="s">
        <v>30</v>
      </c>
      <c r="S359" t="s">
        <v>30</v>
      </c>
      <c r="T359" t="s">
        <v>31</v>
      </c>
    </row>
    <row r="360" spans="1:20" x14ac:dyDescent="0.35">
      <c r="A360" t="s">
        <v>418</v>
      </c>
      <c r="B360">
        <v>12</v>
      </c>
      <c r="C360" t="s">
        <v>33</v>
      </c>
      <c r="D360" t="s">
        <v>22</v>
      </c>
      <c r="E360">
        <v>85360</v>
      </c>
      <c r="F360" s="1" t="s">
        <v>1060</v>
      </c>
      <c r="G360" t="s">
        <v>34</v>
      </c>
      <c r="H360">
        <v>4</v>
      </c>
      <c r="I360" t="s">
        <v>25</v>
      </c>
      <c r="J360">
        <v>2</v>
      </c>
      <c r="K360" t="s">
        <v>26</v>
      </c>
      <c r="L360">
        <v>28</v>
      </c>
      <c r="M360" t="s">
        <v>27</v>
      </c>
      <c r="N360" t="s">
        <v>28</v>
      </c>
      <c r="O360">
        <v>1</v>
      </c>
      <c r="P360" t="s">
        <v>29</v>
      </c>
      <c r="Q360">
        <v>1</v>
      </c>
      <c r="R360" t="s">
        <v>27</v>
      </c>
      <c r="S360" t="s">
        <v>30</v>
      </c>
      <c r="T360" t="s">
        <v>31</v>
      </c>
    </row>
    <row r="361" spans="1:20" x14ac:dyDescent="0.35">
      <c r="A361" t="s">
        <v>419</v>
      </c>
      <c r="B361">
        <v>30</v>
      </c>
      <c r="C361" t="s">
        <v>33</v>
      </c>
      <c r="D361" t="s">
        <v>41</v>
      </c>
      <c r="E361">
        <v>264660</v>
      </c>
      <c r="F361" s="2" t="s">
        <v>1060</v>
      </c>
      <c r="G361" t="s">
        <v>38</v>
      </c>
      <c r="H361">
        <v>4</v>
      </c>
      <c r="I361" t="s">
        <v>35</v>
      </c>
      <c r="J361">
        <v>4</v>
      </c>
      <c r="K361" t="s">
        <v>26</v>
      </c>
      <c r="L361">
        <v>23</v>
      </c>
      <c r="M361" t="s">
        <v>27</v>
      </c>
      <c r="N361" t="s">
        <v>53</v>
      </c>
      <c r="O361">
        <v>1</v>
      </c>
      <c r="P361" t="s">
        <v>29</v>
      </c>
      <c r="Q361">
        <v>1</v>
      </c>
      <c r="R361" t="s">
        <v>27</v>
      </c>
      <c r="S361" t="s">
        <v>30</v>
      </c>
      <c r="T361" t="s">
        <v>31</v>
      </c>
    </row>
    <row r="362" spans="1:20" x14ac:dyDescent="0.35">
      <c r="A362" t="s">
        <v>420</v>
      </c>
      <c r="B362">
        <v>18</v>
      </c>
      <c r="C362" t="s">
        <v>33</v>
      </c>
      <c r="D362" t="s">
        <v>37</v>
      </c>
      <c r="E362">
        <v>136290</v>
      </c>
      <c r="F362" s="1" t="s">
        <v>23</v>
      </c>
      <c r="G362" t="s">
        <v>34</v>
      </c>
      <c r="H362">
        <v>4</v>
      </c>
      <c r="I362" t="s">
        <v>25</v>
      </c>
      <c r="J362">
        <v>4</v>
      </c>
      <c r="K362" t="s">
        <v>47</v>
      </c>
      <c r="L362">
        <v>61</v>
      </c>
      <c r="M362" t="s">
        <v>27</v>
      </c>
      <c r="N362" t="s">
        <v>43</v>
      </c>
      <c r="O362">
        <v>1</v>
      </c>
      <c r="P362" t="s">
        <v>29</v>
      </c>
      <c r="Q362">
        <v>1</v>
      </c>
      <c r="R362" t="s">
        <v>27</v>
      </c>
      <c r="S362" t="s">
        <v>30</v>
      </c>
      <c r="T362" t="s">
        <v>31</v>
      </c>
    </row>
    <row r="363" spans="1:20" x14ac:dyDescent="0.35">
      <c r="A363" t="s">
        <v>421</v>
      </c>
      <c r="B363">
        <v>12</v>
      </c>
      <c r="C363" t="s">
        <v>33</v>
      </c>
      <c r="D363" t="s">
        <v>22</v>
      </c>
      <c r="E363">
        <v>373890</v>
      </c>
      <c r="F363" s="2" t="s">
        <v>23</v>
      </c>
      <c r="G363" t="s">
        <v>24</v>
      </c>
      <c r="H363">
        <v>2</v>
      </c>
      <c r="I363" t="s">
        <v>25</v>
      </c>
      <c r="J363">
        <v>3</v>
      </c>
      <c r="K363" t="s">
        <v>52</v>
      </c>
      <c r="L363">
        <v>37</v>
      </c>
      <c r="M363" t="s">
        <v>27</v>
      </c>
      <c r="N363" t="s">
        <v>28</v>
      </c>
      <c r="O363">
        <v>1</v>
      </c>
      <c r="P363" t="s">
        <v>54</v>
      </c>
      <c r="Q363">
        <v>1</v>
      </c>
      <c r="R363" t="s">
        <v>27</v>
      </c>
      <c r="S363" t="s">
        <v>30</v>
      </c>
      <c r="T363" t="s">
        <v>31</v>
      </c>
    </row>
    <row r="364" spans="1:20" x14ac:dyDescent="0.35">
      <c r="A364" t="s">
        <v>422</v>
      </c>
      <c r="B364">
        <v>12</v>
      </c>
      <c r="C364" t="s">
        <v>45</v>
      </c>
      <c r="D364" t="s">
        <v>46</v>
      </c>
      <c r="E364">
        <v>247170</v>
      </c>
      <c r="F364" s="1" t="s">
        <v>1060</v>
      </c>
      <c r="G364" t="s">
        <v>34</v>
      </c>
      <c r="H364">
        <v>2</v>
      </c>
      <c r="I364" t="s">
        <v>35</v>
      </c>
      <c r="J364">
        <v>2</v>
      </c>
      <c r="K364" t="s">
        <v>52</v>
      </c>
      <c r="L364">
        <v>36</v>
      </c>
      <c r="M364" t="s">
        <v>86</v>
      </c>
      <c r="N364" t="s">
        <v>28</v>
      </c>
      <c r="O364">
        <v>2</v>
      </c>
      <c r="P364" t="s">
        <v>29</v>
      </c>
      <c r="Q364">
        <v>1</v>
      </c>
      <c r="R364" t="s">
        <v>30</v>
      </c>
      <c r="S364" t="s">
        <v>30</v>
      </c>
      <c r="T364" t="s">
        <v>31</v>
      </c>
    </row>
    <row r="365" spans="1:20" x14ac:dyDescent="0.35">
      <c r="A365" t="s">
        <v>423</v>
      </c>
      <c r="B365">
        <v>6</v>
      </c>
      <c r="C365" t="s">
        <v>33</v>
      </c>
      <c r="D365" t="s">
        <v>41</v>
      </c>
      <c r="E365">
        <v>194260</v>
      </c>
      <c r="F365" s="2" t="s">
        <v>1060</v>
      </c>
      <c r="G365" t="s">
        <v>34</v>
      </c>
      <c r="H365">
        <v>1</v>
      </c>
      <c r="I365" t="s">
        <v>25</v>
      </c>
      <c r="J365">
        <v>2</v>
      </c>
      <c r="K365" t="s">
        <v>42</v>
      </c>
      <c r="L365">
        <v>21</v>
      </c>
      <c r="M365" t="s">
        <v>27</v>
      </c>
      <c r="N365" t="s">
        <v>53</v>
      </c>
      <c r="O365">
        <v>1</v>
      </c>
      <c r="P365" t="s">
        <v>29</v>
      </c>
      <c r="Q365">
        <v>1</v>
      </c>
      <c r="R365" t="s">
        <v>27</v>
      </c>
      <c r="S365" t="s">
        <v>30</v>
      </c>
      <c r="T365" t="s">
        <v>31</v>
      </c>
    </row>
    <row r="366" spans="1:20" x14ac:dyDescent="0.35">
      <c r="A366" t="s">
        <v>424</v>
      </c>
      <c r="B366">
        <v>18</v>
      </c>
      <c r="C366" t="s">
        <v>33</v>
      </c>
      <c r="D366" t="s">
        <v>41</v>
      </c>
      <c r="E366">
        <v>272030</v>
      </c>
      <c r="F366" s="1" t="s">
        <v>1060</v>
      </c>
      <c r="G366" t="s">
        <v>57</v>
      </c>
      <c r="H366">
        <v>4</v>
      </c>
      <c r="I366" t="s">
        <v>25</v>
      </c>
      <c r="J366">
        <v>1</v>
      </c>
      <c r="K366" t="s">
        <v>52</v>
      </c>
      <c r="L366">
        <v>25</v>
      </c>
      <c r="M366" t="s">
        <v>27</v>
      </c>
      <c r="N366" t="s">
        <v>28</v>
      </c>
      <c r="O366">
        <v>1</v>
      </c>
      <c r="P366" t="s">
        <v>105</v>
      </c>
      <c r="Q366">
        <v>1</v>
      </c>
      <c r="R366" t="s">
        <v>27</v>
      </c>
      <c r="S366" t="s">
        <v>30</v>
      </c>
      <c r="T366" t="s">
        <v>31</v>
      </c>
    </row>
    <row r="367" spans="1:20" x14ac:dyDescent="0.35">
      <c r="A367" t="s">
        <v>425</v>
      </c>
      <c r="B367">
        <v>12</v>
      </c>
      <c r="C367" t="s">
        <v>33</v>
      </c>
      <c r="D367" t="s">
        <v>61</v>
      </c>
      <c r="E367">
        <v>169620</v>
      </c>
      <c r="F367" s="2" t="s">
        <v>1060</v>
      </c>
      <c r="G367" t="s">
        <v>38</v>
      </c>
      <c r="H367">
        <v>2</v>
      </c>
      <c r="I367" t="s">
        <v>25</v>
      </c>
      <c r="J367">
        <v>4</v>
      </c>
      <c r="K367" t="s">
        <v>52</v>
      </c>
      <c r="L367">
        <v>36</v>
      </c>
      <c r="M367" t="s">
        <v>27</v>
      </c>
      <c r="N367" t="s">
        <v>28</v>
      </c>
      <c r="O367">
        <v>1</v>
      </c>
      <c r="P367" t="s">
        <v>29</v>
      </c>
      <c r="Q367">
        <v>1</v>
      </c>
      <c r="R367" t="s">
        <v>30</v>
      </c>
      <c r="S367" t="s">
        <v>30</v>
      </c>
      <c r="T367" t="s">
        <v>31</v>
      </c>
    </row>
    <row r="368" spans="1:20" x14ac:dyDescent="0.35">
      <c r="A368" t="s">
        <v>426</v>
      </c>
      <c r="B368">
        <v>18</v>
      </c>
      <c r="C368" t="s">
        <v>21</v>
      </c>
      <c r="D368" t="s">
        <v>51</v>
      </c>
      <c r="E368">
        <v>423500</v>
      </c>
      <c r="F368" s="1" t="s">
        <v>1060</v>
      </c>
      <c r="G368" t="s">
        <v>38</v>
      </c>
      <c r="H368">
        <v>3</v>
      </c>
      <c r="I368" t="s">
        <v>25</v>
      </c>
      <c r="J368">
        <v>1</v>
      </c>
      <c r="K368" t="s">
        <v>52</v>
      </c>
      <c r="L368">
        <v>27</v>
      </c>
      <c r="M368" t="s">
        <v>27</v>
      </c>
      <c r="N368" t="s">
        <v>28</v>
      </c>
      <c r="O368">
        <v>2</v>
      </c>
      <c r="P368" t="s">
        <v>29</v>
      </c>
      <c r="Q368">
        <v>1</v>
      </c>
      <c r="R368" t="s">
        <v>27</v>
      </c>
      <c r="S368" t="s">
        <v>30</v>
      </c>
      <c r="T368" t="s">
        <v>31</v>
      </c>
    </row>
    <row r="369" spans="1:20" x14ac:dyDescent="0.35">
      <c r="A369" t="s">
        <v>427</v>
      </c>
      <c r="B369">
        <v>18</v>
      </c>
      <c r="C369" t="s">
        <v>33</v>
      </c>
      <c r="D369" t="s">
        <v>41</v>
      </c>
      <c r="E369">
        <v>401500</v>
      </c>
      <c r="F369" s="2" t="s">
        <v>1060</v>
      </c>
      <c r="G369" t="s">
        <v>59</v>
      </c>
      <c r="H369">
        <v>1</v>
      </c>
      <c r="I369" t="s">
        <v>35</v>
      </c>
      <c r="J369">
        <v>4</v>
      </c>
      <c r="K369" t="s">
        <v>52</v>
      </c>
      <c r="L369">
        <v>22</v>
      </c>
      <c r="M369" t="s">
        <v>27</v>
      </c>
      <c r="N369" t="s">
        <v>53</v>
      </c>
      <c r="O369">
        <v>1</v>
      </c>
      <c r="P369" t="s">
        <v>29</v>
      </c>
      <c r="Q369">
        <v>1</v>
      </c>
      <c r="R369" t="s">
        <v>27</v>
      </c>
      <c r="S369" t="s">
        <v>30</v>
      </c>
      <c r="T369" t="s">
        <v>31</v>
      </c>
    </row>
    <row r="370" spans="1:20" x14ac:dyDescent="0.35">
      <c r="A370" t="s">
        <v>428</v>
      </c>
      <c r="B370">
        <v>36</v>
      </c>
      <c r="C370" t="s">
        <v>33</v>
      </c>
      <c r="D370" t="s">
        <v>41</v>
      </c>
      <c r="E370">
        <v>379060</v>
      </c>
      <c r="F370" s="1" t="s">
        <v>1060</v>
      </c>
      <c r="G370" t="s">
        <v>24</v>
      </c>
      <c r="H370">
        <v>4</v>
      </c>
      <c r="I370" t="s">
        <v>25</v>
      </c>
      <c r="J370">
        <v>2</v>
      </c>
      <c r="K370" t="s">
        <v>52</v>
      </c>
      <c r="L370">
        <v>42</v>
      </c>
      <c r="M370" t="s">
        <v>27</v>
      </c>
      <c r="N370" t="s">
        <v>28</v>
      </c>
      <c r="O370">
        <v>1</v>
      </c>
      <c r="P370" t="s">
        <v>29</v>
      </c>
      <c r="Q370">
        <v>2</v>
      </c>
      <c r="R370" t="s">
        <v>27</v>
      </c>
      <c r="S370" t="s">
        <v>30</v>
      </c>
      <c r="T370" t="s">
        <v>31</v>
      </c>
    </row>
    <row r="371" spans="1:20" x14ac:dyDescent="0.35">
      <c r="A371" t="s">
        <v>429</v>
      </c>
      <c r="B371">
        <v>18</v>
      </c>
      <c r="C371" t="s">
        <v>33</v>
      </c>
      <c r="D371" t="s">
        <v>41</v>
      </c>
      <c r="E371">
        <v>330110</v>
      </c>
      <c r="F371" s="2" t="s">
        <v>1060</v>
      </c>
      <c r="G371" t="s">
        <v>38</v>
      </c>
      <c r="H371">
        <v>2</v>
      </c>
      <c r="I371" t="s">
        <v>35</v>
      </c>
      <c r="J371">
        <v>4</v>
      </c>
      <c r="K371" t="s">
        <v>26</v>
      </c>
      <c r="L371">
        <v>40</v>
      </c>
      <c r="M371" t="s">
        <v>27</v>
      </c>
      <c r="N371" t="s">
        <v>53</v>
      </c>
      <c r="O371">
        <v>1</v>
      </c>
      <c r="P371" t="s">
        <v>29</v>
      </c>
      <c r="Q371">
        <v>1</v>
      </c>
      <c r="R371" t="s">
        <v>27</v>
      </c>
      <c r="S371" t="s">
        <v>30</v>
      </c>
      <c r="T371" t="s">
        <v>31</v>
      </c>
    </row>
    <row r="372" spans="1:20" x14ac:dyDescent="0.35">
      <c r="A372" t="s">
        <v>430</v>
      </c>
      <c r="B372">
        <v>36</v>
      </c>
      <c r="C372" t="s">
        <v>33</v>
      </c>
      <c r="D372" t="s">
        <v>46</v>
      </c>
      <c r="E372">
        <v>338690</v>
      </c>
      <c r="F372" s="1" t="s">
        <v>23</v>
      </c>
      <c r="G372" t="s">
        <v>34</v>
      </c>
      <c r="H372">
        <v>4</v>
      </c>
      <c r="I372" t="s">
        <v>25</v>
      </c>
      <c r="J372">
        <v>4</v>
      </c>
      <c r="K372" t="s">
        <v>26</v>
      </c>
      <c r="L372">
        <v>36</v>
      </c>
      <c r="M372" t="s">
        <v>27</v>
      </c>
      <c r="N372" t="s">
        <v>28</v>
      </c>
      <c r="O372">
        <v>1</v>
      </c>
      <c r="P372" t="s">
        <v>29</v>
      </c>
      <c r="Q372">
        <v>1</v>
      </c>
      <c r="R372" t="s">
        <v>27</v>
      </c>
      <c r="S372" t="s">
        <v>30</v>
      </c>
      <c r="T372" t="s">
        <v>31</v>
      </c>
    </row>
    <row r="373" spans="1:20" x14ac:dyDescent="0.35">
      <c r="A373" t="s">
        <v>431</v>
      </c>
      <c r="B373">
        <v>18</v>
      </c>
      <c r="C373" t="s">
        <v>21</v>
      </c>
      <c r="D373" t="s">
        <v>22</v>
      </c>
      <c r="E373">
        <v>667700</v>
      </c>
      <c r="F373" s="2" t="s">
        <v>1060</v>
      </c>
      <c r="G373" t="s">
        <v>24</v>
      </c>
      <c r="H373">
        <v>3</v>
      </c>
      <c r="I373" t="s">
        <v>25</v>
      </c>
      <c r="J373">
        <v>4</v>
      </c>
      <c r="K373" t="s">
        <v>52</v>
      </c>
      <c r="L373">
        <v>33</v>
      </c>
      <c r="M373" t="s">
        <v>27</v>
      </c>
      <c r="N373" t="s">
        <v>28</v>
      </c>
      <c r="O373">
        <v>2</v>
      </c>
      <c r="P373" t="s">
        <v>29</v>
      </c>
      <c r="Q373">
        <v>1</v>
      </c>
      <c r="R373" t="s">
        <v>30</v>
      </c>
      <c r="S373" t="s">
        <v>30</v>
      </c>
      <c r="T373" t="s">
        <v>31</v>
      </c>
    </row>
    <row r="374" spans="1:20" x14ac:dyDescent="0.35">
      <c r="A374" t="s">
        <v>432</v>
      </c>
      <c r="B374">
        <v>10</v>
      </c>
      <c r="C374" t="s">
        <v>21</v>
      </c>
      <c r="D374" t="s">
        <v>41</v>
      </c>
      <c r="E374">
        <v>236060</v>
      </c>
      <c r="F374" s="1" t="s">
        <v>1060</v>
      </c>
      <c r="G374" t="s">
        <v>59</v>
      </c>
      <c r="H374">
        <v>1</v>
      </c>
      <c r="I374" t="s">
        <v>35</v>
      </c>
      <c r="J374">
        <v>3</v>
      </c>
      <c r="K374" t="s">
        <v>26</v>
      </c>
      <c r="L374">
        <v>23</v>
      </c>
      <c r="M374" t="s">
        <v>27</v>
      </c>
      <c r="N374" t="s">
        <v>53</v>
      </c>
      <c r="O374">
        <v>2</v>
      </c>
      <c r="P374" t="s">
        <v>29</v>
      </c>
      <c r="Q374">
        <v>1</v>
      </c>
      <c r="R374" t="s">
        <v>27</v>
      </c>
      <c r="S374" t="s">
        <v>30</v>
      </c>
      <c r="T374" t="s">
        <v>31</v>
      </c>
    </row>
    <row r="375" spans="1:20" x14ac:dyDescent="0.35">
      <c r="A375" t="s">
        <v>433</v>
      </c>
      <c r="B375">
        <v>60</v>
      </c>
      <c r="C375" t="s">
        <v>21</v>
      </c>
      <c r="D375" t="s">
        <v>46</v>
      </c>
      <c r="E375">
        <v>1513160</v>
      </c>
      <c r="F375" s="2" t="s">
        <v>23</v>
      </c>
      <c r="G375" t="s">
        <v>24</v>
      </c>
      <c r="H375">
        <v>2</v>
      </c>
      <c r="I375" t="s">
        <v>25</v>
      </c>
      <c r="J375">
        <v>4</v>
      </c>
      <c r="K375" t="s">
        <v>47</v>
      </c>
      <c r="L375">
        <v>63</v>
      </c>
      <c r="M375" t="s">
        <v>69</v>
      </c>
      <c r="N375" t="s">
        <v>43</v>
      </c>
      <c r="O375">
        <v>1</v>
      </c>
      <c r="P375" t="s">
        <v>54</v>
      </c>
      <c r="Q375">
        <v>1</v>
      </c>
      <c r="R375" t="s">
        <v>30</v>
      </c>
      <c r="S375" t="s">
        <v>30</v>
      </c>
      <c r="T375" t="s">
        <v>31</v>
      </c>
    </row>
    <row r="376" spans="1:20" x14ac:dyDescent="0.35">
      <c r="A376" t="s">
        <v>434</v>
      </c>
      <c r="B376">
        <v>60</v>
      </c>
      <c r="C376" t="s">
        <v>81</v>
      </c>
      <c r="D376" t="s">
        <v>131</v>
      </c>
      <c r="E376">
        <v>1626020</v>
      </c>
      <c r="F376" s="1" t="s">
        <v>1063</v>
      </c>
      <c r="G376" t="s">
        <v>24</v>
      </c>
      <c r="H376">
        <v>3</v>
      </c>
      <c r="I376" t="s">
        <v>35</v>
      </c>
      <c r="J376">
        <v>4</v>
      </c>
      <c r="K376" t="s">
        <v>47</v>
      </c>
      <c r="L376">
        <v>60</v>
      </c>
      <c r="M376" t="s">
        <v>69</v>
      </c>
      <c r="N376" t="s">
        <v>43</v>
      </c>
      <c r="O376">
        <v>2</v>
      </c>
      <c r="P376" t="s">
        <v>54</v>
      </c>
      <c r="Q376">
        <v>1</v>
      </c>
      <c r="R376" t="s">
        <v>30</v>
      </c>
      <c r="S376" t="s">
        <v>30</v>
      </c>
      <c r="T376" t="s">
        <v>31</v>
      </c>
    </row>
    <row r="377" spans="1:20" x14ac:dyDescent="0.35">
      <c r="A377" t="s">
        <v>435</v>
      </c>
      <c r="B377">
        <v>48</v>
      </c>
      <c r="C377" t="s">
        <v>81</v>
      </c>
      <c r="D377" t="s">
        <v>61</v>
      </c>
      <c r="E377">
        <v>845350</v>
      </c>
      <c r="F377" s="2" t="s">
        <v>1060</v>
      </c>
      <c r="G377" t="s">
        <v>38</v>
      </c>
      <c r="H377">
        <v>2</v>
      </c>
      <c r="I377" t="s">
        <v>35</v>
      </c>
      <c r="J377">
        <v>4</v>
      </c>
      <c r="K377" t="s">
        <v>52</v>
      </c>
      <c r="L377">
        <v>37</v>
      </c>
      <c r="M377" t="s">
        <v>27</v>
      </c>
      <c r="N377" t="s">
        <v>53</v>
      </c>
      <c r="O377">
        <v>1</v>
      </c>
      <c r="P377" t="s">
        <v>29</v>
      </c>
      <c r="Q377">
        <v>1</v>
      </c>
      <c r="R377" t="s">
        <v>27</v>
      </c>
      <c r="S377" t="s">
        <v>30</v>
      </c>
      <c r="T377" t="s">
        <v>31</v>
      </c>
    </row>
    <row r="378" spans="1:20" x14ac:dyDescent="0.35">
      <c r="A378" t="s">
        <v>436</v>
      </c>
      <c r="B378">
        <v>18</v>
      </c>
      <c r="C378" t="s">
        <v>45</v>
      </c>
      <c r="D378" t="s">
        <v>22</v>
      </c>
      <c r="E378">
        <v>255200</v>
      </c>
      <c r="F378" s="1" t="s">
        <v>1060</v>
      </c>
      <c r="G378" t="s">
        <v>57</v>
      </c>
      <c r="H378">
        <v>2</v>
      </c>
      <c r="I378" t="s">
        <v>25</v>
      </c>
      <c r="J378">
        <v>3</v>
      </c>
      <c r="K378" t="s">
        <v>26</v>
      </c>
      <c r="L378">
        <v>34</v>
      </c>
      <c r="M378" t="s">
        <v>27</v>
      </c>
      <c r="N378" t="s">
        <v>28</v>
      </c>
      <c r="O378">
        <v>2</v>
      </c>
      <c r="P378" t="s">
        <v>29</v>
      </c>
      <c r="Q378">
        <v>1</v>
      </c>
      <c r="R378" t="s">
        <v>27</v>
      </c>
      <c r="S378" t="s">
        <v>30</v>
      </c>
      <c r="T378" t="s">
        <v>31</v>
      </c>
    </row>
    <row r="379" spans="1:20" x14ac:dyDescent="0.35">
      <c r="A379" t="s">
        <v>437</v>
      </c>
      <c r="B379">
        <v>7</v>
      </c>
      <c r="C379" t="s">
        <v>45</v>
      </c>
      <c r="D379" t="s">
        <v>22</v>
      </c>
      <c r="E379">
        <v>93060</v>
      </c>
      <c r="F379" s="2" t="s">
        <v>23</v>
      </c>
      <c r="G379" t="s">
        <v>24</v>
      </c>
      <c r="H379">
        <v>3</v>
      </c>
      <c r="I379" t="s">
        <v>25</v>
      </c>
      <c r="J379">
        <v>4</v>
      </c>
      <c r="K379" t="s">
        <v>47</v>
      </c>
      <c r="L379">
        <v>36</v>
      </c>
      <c r="M379" t="s">
        <v>27</v>
      </c>
      <c r="N379" t="s">
        <v>43</v>
      </c>
      <c r="O379">
        <v>1</v>
      </c>
      <c r="P379" t="s">
        <v>29</v>
      </c>
      <c r="Q379">
        <v>1</v>
      </c>
      <c r="R379" t="s">
        <v>27</v>
      </c>
      <c r="S379" t="s">
        <v>30</v>
      </c>
      <c r="T379" t="s">
        <v>31</v>
      </c>
    </row>
    <row r="380" spans="1:20" x14ac:dyDescent="0.35">
      <c r="A380" t="s">
        <v>438</v>
      </c>
      <c r="B380">
        <v>36</v>
      </c>
      <c r="C380" t="s">
        <v>33</v>
      </c>
      <c r="D380" t="s">
        <v>46</v>
      </c>
      <c r="E380">
        <v>1574980</v>
      </c>
      <c r="F380" s="1" t="s">
        <v>1060</v>
      </c>
      <c r="G380" t="s">
        <v>24</v>
      </c>
      <c r="H380">
        <v>4</v>
      </c>
      <c r="I380" t="s">
        <v>25</v>
      </c>
      <c r="J380">
        <v>2</v>
      </c>
      <c r="K380" t="s">
        <v>47</v>
      </c>
      <c r="L380">
        <v>57</v>
      </c>
      <c r="M380" t="s">
        <v>27</v>
      </c>
      <c r="N380" t="s">
        <v>43</v>
      </c>
      <c r="O380">
        <v>1</v>
      </c>
      <c r="P380" t="s">
        <v>54</v>
      </c>
      <c r="Q380">
        <v>1</v>
      </c>
      <c r="R380" t="s">
        <v>30</v>
      </c>
      <c r="S380" t="s">
        <v>30</v>
      </c>
      <c r="T380" t="s">
        <v>31</v>
      </c>
    </row>
    <row r="381" spans="1:20" x14ac:dyDescent="0.35">
      <c r="A381" t="s">
        <v>439</v>
      </c>
      <c r="B381">
        <v>6</v>
      </c>
      <c r="C381" t="s">
        <v>21</v>
      </c>
      <c r="D381" t="s">
        <v>46</v>
      </c>
      <c r="E381">
        <v>39820</v>
      </c>
      <c r="F381" s="2" t="s">
        <v>1063</v>
      </c>
      <c r="G381" t="s">
        <v>34</v>
      </c>
      <c r="H381">
        <v>4</v>
      </c>
      <c r="I381" t="s">
        <v>35</v>
      </c>
      <c r="J381">
        <v>4</v>
      </c>
      <c r="K381" t="s">
        <v>52</v>
      </c>
      <c r="L381">
        <v>52</v>
      </c>
      <c r="M381" t="s">
        <v>27</v>
      </c>
      <c r="N381" t="s">
        <v>28</v>
      </c>
      <c r="O381">
        <v>2</v>
      </c>
      <c r="P381" t="s">
        <v>39</v>
      </c>
      <c r="Q381">
        <v>1</v>
      </c>
      <c r="R381" t="s">
        <v>27</v>
      </c>
      <c r="S381" t="s">
        <v>30</v>
      </c>
      <c r="T381" t="s">
        <v>31</v>
      </c>
    </row>
    <row r="382" spans="1:20" x14ac:dyDescent="0.35">
      <c r="A382" t="s">
        <v>440</v>
      </c>
      <c r="B382">
        <v>20</v>
      </c>
      <c r="C382" t="s">
        <v>33</v>
      </c>
      <c r="D382" t="s">
        <v>41</v>
      </c>
      <c r="E382">
        <v>243320</v>
      </c>
      <c r="F382" s="1" t="s">
        <v>23</v>
      </c>
      <c r="G382" t="s">
        <v>38</v>
      </c>
      <c r="H382">
        <v>4</v>
      </c>
      <c r="I382" t="s">
        <v>25</v>
      </c>
      <c r="J382">
        <v>4</v>
      </c>
      <c r="K382" t="s">
        <v>52</v>
      </c>
      <c r="L382">
        <v>39</v>
      </c>
      <c r="M382" t="s">
        <v>27</v>
      </c>
      <c r="N382" t="s">
        <v>28</v>
      </c>
      <c r="O382">
        <v>1</v>
      </c>
      <c r="P382" t="s">
        <v>29</v>
      </c>
      <c r="Q382">
        <v>1</v>
      </c>
      <c r="R382" t="s">
        <v>30</v>
      </c>
      <c r="S382" t="s">
        <v>30</v>
      </c>
      <c r="T382" t="s">
        <v>31</v>
      </c>
    </row>
    <row r="383" spans="1:20" x14ac:dyDescent="0.35">
      <c r="A383" t="s">
        <v>441</v>
      </c>
      <c r="B383">
        <v>18</v>
      </c>
      <c r="C383" t="s">
        <v>33</v>
      </c>
      <c r="D383" t="s">
        <v>51</v>
      </c>
      <c r="E383">
        <v>1427360</v>
      </c>
      <c r="F383" s="2" t="s">
        <v>1060</v>
      </c>
      <c r="G383" t="s">
        <v>57</v>
      </c>
      <c r="H383">
        <v>3</v>
      </c>
      <c r="I383" t="s">
        <v>35</v>
      </c>
      <c r="J383">
        <v>4</v>
      </c>
      <c r="K383" t="s">
        <v>47</v>
      </c>
      <c r="L383">
        <v>38</v>
      </c>
      <c r="M383" t="s">
        <v>27</v>
      </c>
      <c r="N383" t="s">
        <v>43</v>
      </c>
      <c r="O383">
        <v>1</v>
      </c>
      <c r="P383" t="s">
        <v>54</v>
      </c>
      <c r="Q383">
        <v>1</v>
      </c>
      <c r="R383" t="s">
        <v>30</v>
      </c>
      <c r="S383" t="s">
        <v>30</v>
      </c>
      <c r="T383" t="s">
        <v>31</v>
      </c>
    </row>
    <row r="384" spans="1:20" x14ac:dyDescent="0.35">
      <c r="A384" t="s">
        <v>442</v>
      </c>
      <c r="B384">
        <v>22</v>
      </c>
      <c r="C384" t="s">
        <v>33</v>
      </c>
      <c r="D384" t="s">
        <v>46</v>
      </c>
      <c r="E384">
        <v>141130</v>
      </c>
      <c r="F384" s="1" t="s">
        <v>23</v>
      </c>
      <c r="G384" t="s">
        <v>38</v>
      </c>
      <c r="H384">
        <v>4</v>
      </c>
      <c r="I384" t="s">
        <v>35</v>
      </c>
      <c r="J384">
        <v>4</v>
      </c>
      <c r="K384" t="s">
        <v>42</v>
      </c>
      <c r="L384">
        <v>25</v>
      </c>
      <c r="M384" t="s">
        <v>27</v>
      </c>
      <c r="N384" t="s">
        <v>53</v>
      </c>
      <c r="O384">
        <v>1</v>
      </c>
      <c r="P384" t="s">
        <v>29</v>
      </c>
      <c r="Q384">
        <v>1</v>
      </c>
      <c r="R384" t="s">
        <v>27</v>
      </c>
      <c r="S384" t="s">
        <v>30</v>
      </c>
      <c r="T384" t="s">
        <v>31</v>
      </c>
    </row>
    <row r="385" spans="1:20" x14ac:dyDescent="0.35">
      <c r="A385" t="s">
        <v>443</v>
      </c>
      <c r="B385">
        <v>12</v>
      </c>
      <c r="C385" t="s">
        <v>33</v>
      </c>
      <c r="D385" t="s">
        <v>46</v>
      </c>
      <c r="E385">
        <v>146300</v>
      </c>
      <c r="F385" s="2" t="s">
        <v>1060</v>
      </c>
      <c r="G385" t="s">
        <v>59</v>
      </c>
      <c r="H385">
        <v>4</v>
      </c>
      <c r="I385" t="s">
        <v>25</v>
      </c>
      <c r="J385">
        <v>1</v>
      </c>
      <c r="K385" t="s">
        <v>26</v>
      </c>
      <c r="L385">
        <v>26</v>
      </c>
      <c r="M385" t="s">
        <v>27</v>
      </c>
      <c r="N385" t="s">
        <v>28</v>
      </c>
      <c r="O385">
        <v>1</v>
      </c>
      <c r="P385" t="s">
        <v>29</v>
      </c>
      <c r="Q385">
        <v>1</v>
      </c>
      <c r="R385" t="s">
        <v>27</v>
      </c>
      <c r="S385" t="s">
        <v>30</v>
      </c>
      <c r="T385" t="s">
        <v>31</v>
      </c>
    </row>
    <row r="386" spans="1:20" x14ac:dyDescent="0.35">
      <c r="A386" t="s">
        <v>444</v>
      </c>
      <c r="B386">
        <v>30</v>
      </c>
      <c r="C386" t="s">
        <v>45</v>
      </c>
      <c r="D386" t="s">
        <v>61</v>
      </c>
      <c r="E386">
        <v>469920</v>
      </c>
      <c r="F386" s="1" t="s">
        <v>1063</v>
      </c>
      <c r="G386" t="s">
        <v>34</v>
      </c>
      <c r="H386">
        <v>2</v>
      </c>
      <c r="I386" t="s">
        <v>25</v>
      </c>
      <c r="J386">
        <v>2</v>
      </c>
      <c r="K386" t="s">
        <v>42</v>
      </c>
      <c r="L386">
        <v>26</v>
      </c>
      <c r="M386" t="s">
        <v>27</v>
      </c>
      <c r="N386" t="s">
        <v>28</v>
      </c>
      <c r="O386">
        <v>2</v>
      </c>
      <c r="P386" t="s">
        <v>39</v>
      </c>
      <c r="Q386">
        <v>1</v>
      </c>
      <c r="R386" t="s">
        <v>27</v>
      </c>
      <c r="S386" t="s">
        <v>30</v>
      </c>
      <c r="T386" t="s">
        <v>31</v>
      </c>
    </row>
    <row r="387" spans="1:20" x14ac:dyDescent="0.35">
      <c r="A387" t="s">
        <v>445</v>
      </c>
      <c r="B387">
        <v>18</v>
      </c>
      <c r="C387" t="s">
        <v>21</v>
      </c>
      <c r="D387" t="s">
        <v>22</v>
      </c>
      <c r="E387">
        <v>246180</v>
      </c>
      <c r="F387" s="2" t="s">
        <v>1060</v>
      </c>
      <c r="G387" t="s">
        <v>34</v>
      </c>
      <c r="H387">
        <v>2</v>
      </c>
      <c r="I387" t="s">
        <v>35</v>
      </c>
      <c r="J387">
        <v>1</v>
      </c>
      <c r="K387" t="s">
        <v>52</v>
      </c>
      <c r="L387">
        <v>25</v>
      </c>
      <c r="M387" t="s">
        <v>27</v>
      </c>
      <c r="N387" t="s">
        <v>28</v>
      </c>
      <c r="O387">
        <v>2</v>
      </c>
      <c r="P387" t="s">
        <v>29</v>
      </c>
      <c r="Q387">
        <v>1</v>
      </c>
      <c r="R387" t="s">
        <v>27</v>
      </c>
      <c r="S387" t="s">
        <v>30</v>
      </c>
      <c r="T387" t="s">
        <v>31</v>
      </c>
    </row>
    <row r="388" spans="1:20" x14ac:dyDescent="0.35">
      <c r="A388" t="s">
        <v>446</v>
      </c>
      <c r="B388">
        <v>18</v>
      </c>
      <c r="C388" t="s">
        <v>33</v>
      </c>
      <c r="D388" t="s">
        <v>22</v>
      </c>
      <c r="E388">
        <v>123860</v>
      </c>
      <c r="F388" s="1" t="s">
        <v>23</v>
      </c>
      <c r="G388" t="s">
        <v>59</v>
      </c>
      <c r="H388">
        <v>4</v>
      </c>
      <c r="I388" t="s">
        <v>35</v>
      </c>
      <c r="J388">
        <v>2</v>
      </c>
      <c r="K388" t="s">
        <v>26</v>
      </c>
      <c r="L388">
        <v>21</v>
      </c>
      <c r="M388" t="s">
        <v>27</v>
      </c>
      <c r="N388" t="s">
        <v>53</v>
      </c>
      <c r="O388">
        <v>1</v>
      </c>
      <c r="P388" t="s">
        <v>29</v>
      </c>
      <c r="Q388">
        <v>1</v>
      </c>
      <c r="R388" t="s">
        <v>30</v>
      </c>
      <c r="S388" t="s">
        <v>30</v>
      </c>
      <c r="T388" t="s">
        <v>31</v>
      </c>
    </row>
    <row r="389" spans="1:20" x14ac:dyDescent="0.35">
      <c r="A389" t="s">
        <v>447</v>
      </c>
      <c r="B389">
        <v>18</v>
      </c>
      <c r="C389" t="s">
        <v>21</v>
      </c>
      <c r="D389" t="s">
        <v>41</v>
      </c>
      <c r="E389">
        <v>811140</v>
      </c>
      <c r="F389" s="2" t="s">
        <v>1060</v>
      </c>
      <c r="G389" t="s">
        <v>57</v>
      </c>
      <c r="H389">
        <v>4</v>
      </c>
      <c r="I389" t="s">
        <v>25</v>
      </c>
      <c r="J389">
        <v>4</v>
      </c>
      <c r="K389" t="s">
        <v>42</v>
      </c>
      <c r="L389">
        <v>40</v>
      </c>
      <c r="M389" t="s">
        <v>86</v>
      </c>
      <c r="N389" t="s">
        <v>28</v>
      </c>
      <c r="O389">
        <v>2</v>
      </c>
      <c r="P389" t="s">
        <v>54</v>
      </c>
      <c r="Q389">
        <v>1</v>
      </c>
      <c r="R389" t="s">
        <v>30</v>
      </c>
      <c r="S389" t="s">
        <v>30</v>
      </c>
      <c r="T389" t="s">
        <v>31</v>
      </c>
    </row>
    <row r="390" spans="1:20" x14ac:dyDescent="0.35">
      <c r="A390" t="s">
        <v>448</v>
      </c>
      <c r="B390">
        <v>15</v>
      </c>
      <c r="C390" t="s">
        <v>21</v>
      </c>
      <c r="D390" t="s">
        <v>61</v>
      </c>
      <c r="E390">
        <v>255860</v>
      </c>
      <c r="F390" s="1" t="s">
        <v>1061</v>
      </c>
      <c r="G390" t="s">
        <v>34</v>
      </c>
      <c r="H390">
        <v>2</v>
      </c>
      <c r="I390" t="s">
        <v>25</v>
      </c>
      <c r="J390">
        <v>4</v>
      </c>
      <c r="K390" t="s">
        <v>52</v>
      </c>
      <c r="L390">
        <v>27</v>
      </c>
      <c r="M390" t="s">
        <v>69</v>
      </c>
      <c r="N390" t="s">
        <v>28</v>
      </c>
      <c r="O390">
        <v>1</v>
      </c>
      <c r="P390" t="s">
        <v>29</v>
      </c>
      <c r="Q390">
        <v>1</v>
      </c>
      <c r="R390" t="s">
        <v>27</v>
      </c>
      <c r="S390" t="s">
        <v>30</v>
      </c>
      <c r="T390" t="s">
        <v>31</v>
      </c>
    </row>
    <row r="391" spans="1:20" x14ac:dyDescent="0.35">
      <c r="A391" t="s">
        <v>449</v>
      </c>
      <c r="B391">
        <v>9</v>
      </c>
      <c r="C391" t="s">
        <v>33</v>
      </c>
      <c r="D391" t="s">
        <v>61</v>
      </c>
      <c r="E391">
        <v>159390</v>
      </c>
      <c r="F391" s="2" t="s">
        <v>1060</v>
      </c>
      <c r="G391" t="s">
        <v>38</v>
      </c>
      <c r="H391">
        <v>3</v>
      </c>
      <c r="I391" t="s">
        <v>35</v>
      </c>
      <c r="J391">
        <v>2</v>
      </c>
      <c r="K391" t="s">
        <v>52</v>
      </c>
      <c r="L391">
        <v>27</v>
      </c>
      <c r="M391" t="s">
        <v>27</v>
      </c>
      <c r="N391" t="s">
        <v>28</v>
      </c>
      <c r="O391">
        <v>2</v>
      </c>
      <c r="P391" t="s">
        <v>29</v>
      </c>
      <c r="Q391">
        <v>1</v>
      </c>
      <c r="R391" t="s">
        <v>27</v>
      </c>
      <c r="S391" t="s">
        <v>30</v>
      </c>
      <c r="T391" t="s">
        <v>31</v>
      </c>
    </row>
    <row r="392" spans="1:20" x14ac:dyDescent="0.35">
      <c r="A392" t="s">
        <v>450</v>
      </c>
      <c r="B392">
        <v>18</v>
      </c>
      <c r="C392" t="s">
        <v>33</v>
      </c>
      <c r="D392" t="s">
        <v>46</v>
      </c>
      <c r="E392">
        <v>200200</v>
      </c>
      <c r="F392" s="1" t="s">
        <v>1060</v>
      </c>
      <c r="G392" t="s">
        <v>34</v>
      </c>
      <c r="H392">
        <v>2</v>
      </c>
      <c r="I392" t="s">
        <v>25</v>
      </c>
      <c r="J392">
        <v>2</v>
      </c>
      <c r="K392" t="s">
        <v>42</v>
      </c>
      <c r="L392">
        <v>30</v>
      </c>
      <c r="M392" t="s">
        <v>27</v>
      </c>
      <c r="N392" t="s">
        <v>28</v>
      </c>
      <c r="O392">
        <v>1</v>
      </c>
      <c r="P392" t="s">
        <v>54</v>
      </c>
      <c r="Q392">
        <v>1</v>
      </c>
      <c r="R392" t="s">
        <v>30</v>
      </c>
      <c r="S392" t="s">
        <v>30</v>
      </c>
      <c r="T392" t="s">
        <v>31</v>
      </c>
    </row>
    <row r="393" spans="1:20" x14ac:dyDescent="0.35">
      <c r="A393" t="s">
        <v>451</v>
      </c>
      <c r="B393">
        <v>12</v>
      </c>
      <c r="C393" t="s">
        <v>33</v>
      </c>
      <c r="D393" t="s">
        <v>41</v>
      </c>
      <c r="E393">
        <v>108130</v>
      </c>
      <c r="F393" s="2" t="s">
        <v>1062</v>
      </c>
      <c r="G393" t="s">
        <v>59</v>
      </c>
      <c r="H393">
        <v>1</v>
      </c>
      <c r="I393" t="s">
        <v>35</v>
      </c>
      <c r="J393">
        <v>4</v>
      </c>
      <c r="K393" t="s">
        <v>26</v>
      </c>
      <c r="L393">
        <v>19</v>
      </c>
      <c r="M393" t="s">
        <v>27</v>
      </c>
      <c r="N393" t="s">
        <v>53</v>
      </c>
      <c r="O393">
        <v>1</v>
      </c>
      <c r="P393" t="s">
        <v>39</v>
      </c>
      <c r="Q393">
        <v>1</v>
      </c>
      <c r="R393" t="s">
        <v>27</v>
      </c>
      <c r="S393" t="s">
        <v>30</v>
      </c>
      <c r="T393" t="s">
        <v>31</v>
      </c>
    </row>
    <row r="394" spans="1:20" x14ac:dyDescent="0.35">
      <c r="A394" t="s">
        <v>452</v>
      </c>
      <c r="B394">
        <v>36</v>
      </c>
      <c r="C394" t="s">
        <v>33</v>
      </c>
      <c r="D394" t="s">
        <v>46</v>
      </c>
      <c r="E394">
        <v>357390</v>
      </c>
      <c r="F394" s="1" t="s">
        <v>1060</v>
      </c>
      <c r="G394" t="s">
        <v>38</v>
      </c>
      <c r="H394">
        <v>2</v>
      </c>
      <c r="I394" t="s">
        <v>25</v>
      </c>
      <c r="J394">
        <v>4</v>
      </c>
      <c r="K394" t="s">
        <v>47</v>
      </c>
      <c r="L394">
        <v>39</v>
      </c>
      <c r="M394" t="s">
        <v>69</v>
      </c>
      <c r="N394" t="s">
        <v>43</v>
      </c>
      <c r="O394">
        <v>1</v>
      </c>
      <c r="P394" t="s">
        <v>54</v>
      </c>
      <c r="Q394">
        <v>2</v>
      </c>
      <c r="R394" t="s">
        <v>30</v>
      </c>
      <c r="S394" t="s">
        <v>30</v>
      </c>
      <c r="T394" t="s">
        <v>31</v>
      </c>
    </row>
    <row r="395" spans="1:20" x14ac:dyDescent="0.35">
      <c r="A395" t="s">
        <v>453</v>
      </c>
      <c r="B395">
        <v>6</v>
      </c>
      <c r="C395" t="s">
        <v>21</v>
      </c>
      <c r="D395" t="s">
        <v>22</v>
      </c>
      <c r="E395">
        <v>215270</v>
      </c>
      <c r="F395" s="2" t="s">
        <v>1060</v>
      </c>
      <c r="G395" t="s">
        <v>38</v>
      </c>
      <c r="H395">
        <v>1</v>
      </c>
      <c r="I395" t="s">
        <v>35</v>
      </c>
      <c r="J395">
        <v>4</v>
      </c>
      <c r="K395" t="s">
        <v>52</v>
      </c>
      <c r="L395">
        <v>31</v>
      </c>
      <c r="M395" t="s">
        <v>27</v>
      </c>
      <c r="N395" t="s">
        <v>28</v>
      </c>
      <c r="O395">
        <v>1</v>
      </c>
      <c r="P395" t="s">
        <v>29</v>
      </c>
      <c r="Q395">
        <v>1</v>
      </c>
      <c r="R395" t="s">
        <v>27</v>
      </c>
      <c r="S395" t="s">
        <v>30</v>
      </c>
      <c r="T395" t="s">
        <v>31</v>
      </c>
    </row>
    <row r="396" spans="1:20" x14ac:dyDescent="0.35">
      <c r="A396" t="s">
        <v>454</v>
      </c>
      <c r="B396">
        <v>9</v>
      </c>
      <c r="C396" t="s">
        <v>21</v>
      </c>
      <c r="D396" t="s">
        <v>41</v>
      </c>
      <c r="E396">
        <v>264660</v>
      </c>
      <c r="F396" s="1" t="s">
        <v>1060</v>
      </c>
      <c r="G396" t="s">
        <v>57</v>
      </c>
      <c r="H396">
        <v>2</v>
      </c>
      <c r="I396" t="s">
        <v>25</v>
      </c>
      <c r="J396">
        <v>3</v>
      </c>
      <c r="K396" t="s">
        <v>52</v>
      </c>
      <c r="L396">
        <v>31</v>
      </c>
      <c r="M396" t="s">
        <v>27</v>
      </c>
      <c r="N396" t="s">
        <v>28</v>
      </c>
      <c r="O396">
        <v>1</v>
      </c>
      <c r="P396" t="s">
        <v>54</v>
      </c>
      <c r="Q396">
        <v>1</v>
      </c>
      <c r="R396" t="s">
        <v>27</v>
      </c>
      <c r="S396" t="s">
        <v>30</v>
      </c>
      <c r="T396" t="s">
        <v>31</v>
      </c>
    </row>
    <row r="397" spans="1:20" x14ac:dyDescent="0.35">
      <c r="A397" t="s">
        <v>455</v>
      </c>
      <c r="B397">
        <v>39</v>
      </c>
      <c r="C397" t="s">
        <v>45</v>
      </c>
      <c r="D397" t="s">
        <v>37</v>
      </c>
      <c r="E397">
        <v>1293600</v>
      </c>
      <c r="F397" s="2" t="s">
        <v>1063</v>
      </c>
      <c r="G397" t="s">
        <v>38</v>
      </c>
      <c r="H397">
        <v>2</v>
      </c>
      <c r="I397" t="s">
        <v>25</v>
      </c>
      <c r="J397">
        <v>3</v>
      </c>
      <c r="K397" t="s">
        <v>47</v>
      </c>
      <c r="L397">
        <v>32</v>
      </c>
      <c r="M397" t="s">
        <v>27</v>
      </c>
      <c r="N397" t="s">
        <v>53</v>
      </c>
      <c r="O397">
        <v>1</v>
      </c>
      <c r="P397" t="s">
        <v>29</v>
      </c>
      <c r="Q397">
        <v>1</v>
      </c>
      <c r="R397" t="s">
        <v>30</v>
      </c>
      <c r="S397" t="s">
        <v>30</v>
      </c>
      <c r="T397" t="s">
        <v>31</v>
      </c>
    </row>
    <row r="398" spans="1:20" x14ac:dyDescent="0.35">
      <c r="A398" t="s">
        <v>456</v>
      </c>
      <c r="B398">
        <v>12</v>
      </c>
      <c r="C398" t="s">
        <v>33</v>
      </c>
      <c r="D398" t="s">
        <v>41</v>
      </c>
      <c r="E398">
        <v>283580</v>
      </c>
      <c r="F398" s="1" t="s">
        <v>1060</v>
      </c>
      <c r="G398" t="s">
        <v>57</v>
      </c>
      <c r="H398">
        <v>3</v>
      </c>
      <c r="I398" t="s">
        <v>35</v>
      </c>
      <c r="J398">
        <v>4</v>
      </c>
      <c r="K398" t="s">
        <v>47</v>
      </c>
      <c r="L398">
        <v>55</v>
      </c>
      <c r="M398" t="s">
        <v>27</v>
      </c>
      <c r="N398" t="s">
        <v>43</v>
      </c>
      <c r="O398">
        <v>1</v>
      </c>
      <c r="P398" t="s">
        <v>54</v>
      </c>
      <c r="Q398">
        <v>1</v>
      </c>
      <c r="R398" t="s">
        <v>27</v>
      </c>
      <c r="S398" t="s">
        <v>30</v>
      </c>
      <c r="T398" t="s">
        <v>31</v>
      </c>
    </row>
    <row r="399" spans="1:20" x14ac:dyDescent="0.35">
      <c r="A399" t="s">
        <v>457</v>
      </c>
      <c r="B399">
        <v>36</v>
      </c>
      <c r="C399" t="s">
        <v>21</v>
      </c>
      <c r="D399" t="s">
        <v>41</v>
      </c>
      <c r="E399">
        <v>258280</v>
      </c>
      <c r="F399" s="2" t="s">
        <v>1060</v>
      </c>
      <c r="G399" t="s">
        <v>34</v>
      </c>
      <c r="H399">
        <v>3</v>
      </c>
      <c r="I399" t="s">
        <v>25</v>
      </c>
      <c r="J399">
        <v>2</v>
      </c>
      <c r="K399" t="s">
        <v>42</v>
      </c>
      <c r="L399">
        <v>46</v>
      </c>
      <c r="M399" t="s">
        <v>27</v>
      </c>
      <c r="N399" t="s">
        <v>28</v>
      </c>
      <c r="O399">
        <v>2</v>
      </c>
      <c r="P399" t="s">
        <v>29</v>
      </c>
      <c r="Q399">
        <v>1</v>
      </c>
      <c r="R399" t="s">
        <v>30</v>
      </c>
      <c r="S399" t="s">
        <v>30</v>
      </c>
      <c r="T399" t="s">
        <v>31</v>
      </c>
    </row>
    <row r="400" spans="1:20" x14ac:dyDescent="0.35">
      <c r="A400" t="s">
        <v>458</v>
      </c>
      <c r="B400">
        <v>12</v>
      </c>
      <c r="C400" t="s">
        <v>33</v>
      </c>
      <c r="D400" t="s">
        <v>46</v>
      </c>
      <c r="E400">
        <v>134530</v>
      </c>
      <c r="F400" s="1" t="s">
        <v>1060</v>
      </c>
      <c r="G400" t="s">
        <v>24</v>
      </c>
      <c r="H400">
        <v>1</v>
      </c>
      <c r="I400" t="s">
        <v>25</v>
      </c>
      <c r="J400">
        <v>1</v>
      </c>
      <c r="K400" t="s">
        <v>26</v>
      </c>
      <c r="L400">
        <v>46</v>
      </c>
      <c r="M400" t="s">
        <v>27</v>
      </c>
      <c r="N400" t="s">
        <v>53</v>
      </c>
      <c r="O400">
        <v>2</v>
      </c>
      <c r="P400" t="s">
        <v>29</v>
      </c>
      <c r="Q400">
        <v>1</v>
      </c>
      <c r="R400" t="s">
        <v>27</v>
      </c>
      <c r="S400" t="s">
        <v>30</v>
      </c>
      <c r="T400" t="s">
        <v>31</v>
      </c>
    </row>
    <row r="401" spans="1:20" x14ac:dyDescent="0.35">
      <c r="A401" t="s">
        <v>459</v>
      </c>
      <c r="B401">
        <v>24</v>
      </c>
      <c r="C401" t="s">
        <v>21</v>
      </c>
      <c r="D401" t="s">
        <v>22</v>
      </c>
      <c r="E401">
        <v>166760</v>
      </c>
      <c r="F401" s="2" t="s">
        <v>1062</v>
      </c>
      <c r="G401" t="s">
        <v>34</v>
      </c>
      <c r="H401">
        <v>4</v>
      </c>
      <c r="I401" t="s">
        <v>35</v>
      </c>
      <c r="J401">
        <v>1</v>
      </c>
      <c r="K401" t="s">
        <v>26</v>
      </c>
      <c r="L401">
        <v>43</v>
      </c>
      <c r="M401" t="s">
        <v>27</v>
      </c>
      <c r="N401" t="s">
        <v>28</v>
      </c>
      <c r="O401">
        <v>2</v>
      </c>
      <c r="P401" t="s">
        <v>39</v>
      </c>
      <c r="Q401">
        <v>1</v>
      </c>
      <c r="R401" t="s">
        <v>27</v>
      </c>
      <c r="S401" t="s">
        <v>30</v>
      </c>
      <c r="T401" t="s">
        <v>31</v>
      </c>
    </row>
    <row r="402" spans="1:20" x14ac:dyDescent="0.35">
      <c r="A402" t="s">
        <v>460</v>
      </c>
      <c r="B402">
        <v>18</v>
      </c>
      <c r="C402" t="s">
        <v>33</v>
      </c>
      <c r="D402" t="s">
        <v>22</v>
      </c>
      <c r="E402">
        <v>162030</v>
      </c>
      <c r="F402" s="1" t="s">
        <v>1060</v>
      </c>
      <c r="G402" t="s">
        <v>59</v>
      </c>
      <c r="H402">
        <v>3</v>
      </c>
      <c r="I402" t="s">
        <v>25</v>
      </c>
      <c r="J402">
        <v>4</v>
      </c>
      <c r="K402" t="s">
        <v>26</v>
      </c>
      <c r="L402">
        <v>39</v>
      </c>
      <c r="M402" t="s">
        <v>27</v>
      </c>
      <c r="N402" t="s">
        <v>28</v>
      </c>
      <c r="O402">
        <v>1</v>
      </c>
      <c r="P402" t="s">
        <v>29</v>
      </c>
      <c r="Q402">
        <v>1</v>
      </c>
      <c r="R402" t="s">
        <v>30</v>
      </c>
      <c r="S402" t="s">
        <v>30</v>
      </c>
      <c r="T402" t="s">
        <v>31</v>
      </c>
    </row>
    <row r="403" spans="1:20" x14ac:dyDescent="0.35">
      <c r="A403" t="s">
        <v>461</v>
      </c>
      <c r="B403">
        <v>18</v>
      </c>
      <c r="C403" t="s">
        <v>21</v>
      </c>
      <c r="D403" t="s">
        <v>61</v>
      </c>
      <c r="E403">
        <v>207570</v>
      </c>
      <c r="F403" s="2" t="s">
        <v>23</v>
      </c>
      <c r="G403" t="s">
        <v>34</v>
      </c>
      <c r="H403">
        <v>4</v>
      </c>
      <c r="I403" t="s">
        <v>25</v>
      </c>
      <c r="J403">
        <v>4</v>
      </c>
      <c r="K403" t="s">
        <v>26</v>
      </c>
      <c r="L403">
        <v>28</v>
      </c>
      <c r="M403" t="s">
        <v>69</v>
      </c>
      <c r="N403" t="s">
        <v>28</v>
      </c>
      <c r="O403">
        <v>2</v>
      </c>
      <c r="P403" t="s">
        <v>29</v>
      </c>
      <c r="Q403">
        <v>1</v>
      </c>
      <c r="R403" t="s">
        <v>27</v>
      </c>
      <c r="S403" t="s">
        <v>30</v>
      </c>
      <c r="T403" t="s">
        <v>31</v>
      </c>
    </row>
    <row r="404" spans="1:20" x14ac:dyDescent="0.35">
      <c r="A404" t="s">
        <v>462</v>
      </c>
      <c r="B404">
        <v>24</v>
      </c>
      <c r="C404" t="s">
        <v>45</v>
      </c>
      <c r="D404" t="s">
        <v>61</v>
      </c>
      <c r="E404">
        <v>951280</v>
      </c>
      <c r="F404" s="1" t="s">
        <v>1060</v>
      </c>
      <c r="G404" t="s">
        <v>59</v>
      </c>
      <c r="H404">
        <v>2</v>
      </c>
      <c r="I404" t="s">
        <v>25</v>
      </c>
      <c r="J404">
        <v>2</v>
      </c>
      <c r="K404" t="s">
        <v>52</v>
      </c>
      <c r="L404">
        <v>27</v>
      </c>
      <c r="M404" t="s">
        <v>69</v>
      </c>
      <c r="N404" t="s">
        <v>28</v>
      </c>
      <c r="O404">
        <v>2</v>
      </c>
      <c r="P404" t="s">
        <v>29</v>
      </c>
      <c r="Q404">
        <v>1</v>
      </c>
      <c r="R404" t="s">
        <v>30</v>
      </c>
      <c r="S404" t="s">
        <v>30</v>
      </c>
      <c r="T404" t="s">
        <v>31</v>
      </c>
    </row>
    <row r="405" spans="1:20" x14ac:dyDescent="0.35">
      <c r="A405" t="s">
        <v>463</v>
      </c>
      <c r="B405">
        <v>14</v>
      </c>
      <c r="C405" t="s">
        <v>45</v>
      </c>
      <c r="D405" t="s">
        <v>46</v>
      </c>
      <c r="E405">
        <v>88220</v>
      </c>
      <c r="F405" s="2" t="s">
        <v>1060</v>
      </c>
      <c r="G405" t="s">
        <v>34</v>
      </c>
      <c r="H405">
        <v>4</v>
      </c>
      <c r="I405" t="s">
        <v>25</v>
      </c>
      <c r="J405">
        <v>2</v>
      </c>
      <c r="K405" t="s">
        <v>52</v>
      </c>
      <c r="L405">
        <v>27</v>
      </c>
      <c r="M405" t="s">
        <v>27</v>
      </c>
      <c r="N405" t="s">
        <v>28</v>
      </c>
      <c r="O405">
        <v>2</v>
      </c>
      <c r="P405" t="s">
        <v>39</v>
      </c>
      <c r="Q405">
        <v>1</v>
      </c>
      <c r="R405" t="s">
        <v>27</v>
      </c>
      <c r="S405" t="s">
        <v>30</v>
      </c>
      <c r="T405" t="s">
        <v>31</v>
      </c>
    </row>
    <row r="406" spans="1:20" x14ac:dyDescent="0.35">
      <c r="A406" t="s">
        <v>464</v>
      </c>
      <c r="B406">
        <v>18</v>
      </c>
      <c r="C406" t="s">
        <v>45</v>
      </c>
      <c r="D406" t="s">
        <v>46</v>
      </c>
      <c r="E406">
        <v>318890</v>
      </c>
      <c r="F406" s="1" t="s">
        <v>23</v>
      </c>
      <c r="G406" t="s">
        <v>24</v>
      </c>
      <c r="H406">
        <v>4</v>
      </c>
      <c r="I406" t="s">
        <v>25</v>
      </c>
      <c r="J406">
        <v>4</v>
      </c>
      <c r="K406" t="s">
        <v>52</v>
      </c>
      <c r="L406">
        <v>43</v>
      </c>
      <c r="M406" t="s">
        <v>27</v>
      </c>
      <c r="N406" t="s">
        <v>28</v>
      </c>
      <c r="O406">
        <v>1</v>
      </c>
      <c r="P406" t="s">
        <v>29</v>
      </c>
      <c r="Q406">
        <v>2</v>
      </c>
      <c r="R406" t="s">
        <v>27</v>
      </c>
      <c r="S406" t="s">
        <v>30</v>
      </c>
      <c r="T406" t="s">
        <v>31</v>
      </c>
    </row>
    <row r="407" spans="1:20" x14ac:dyDescent="0.35">
      <c r="A407" t="s">
        <v>465</v>
      </c>
      <c r="B407">
        <v>24</v>
      </c>
      <c r="C407" t="s">
        <v>33</v>
      </c>
      <c r="D407" t="s">
        <v>22</v>
      </c>
      <c r="E407">
        <v>224290</v>
      </c>
      <c r="F407" s="2" t="s">
        <v>1060</v>
      </c>
      <c r="G407" t="s">
        <v>59</v>
      </c>
      <c r="H407">
        <v>1</v>
      </c>
      <c r="I407" t="s">
        <v>25</v>
      </c>
      <c r="J407">
        <v>1</v>
      </c>
      <c r="K407" t="s">
        <v>42</v>
      </c>
      <c r="L407">
        <v>22</v>
      </c>
      <c r="M407" t="s">
        <v>27</v>
      </c>
      <c r="N407" t="s">
        <v>28</v>
      </c>
      <c r="O407">
        <v>1</v>
      </c>
      <c r="P407" t="s">
        <v>29</v>
      </c>
      <c r="Q407">
        <v>1</v>
      </c>
      <c r="R407" t="s">
        <v>30</v>
      </c>
      <c r="S407" t="s">
        <v>30</v>
      </c>
      <c r="T407" t="s">
        <v>31</v>
      </c>
    </row>
    <row r="408" spans="1:20" x14ac:dyDescent="0.35">
      <c r="A408" t="s">
        <v>466</v>
      </c>
      <c r="B408">
        <v>24</v>
      </c>
      <c r="C408" t="s">
        <v>21</v>
      </c>
      <c r="D408" t="s">
        <v>51</v>
      </c>
      <c r="E408">
        <v>241670</v>
      </c>
      <c r="F408" s="1" t="s">
        <v>23</v>
      </c>
      <c r="G408" t="s">
        <v>38</v>
      </c>
      <c r="H408">
        <v>4</v>
      </c>
      <c r="I408" t="s">
        <v>25</v>
      </c>
      <c r="J408">
        <v>4</v>
      </c>
      <c r="K408" t="s">
        <v>52</v>
      </c>
      <c r="L408">
        <v>43</v>
      </c>
      <c r="M408" t="s">
        <v>27</v>
      </c>
      <c r="N408" t="s">
        <v>28</v>
      </c>
      <c r="O408">
        <v>2</v>
      </c>
      <c r="P408" t="s">
        <v>29</v>
      </c>
      <c r="Q408">
        <v>2</v>
      </c>
      <c r="R408" t="s">
        <v>30</v>
      </c>
      <c r="S408" t="s">
        <v>30</v>
      </c>
      <c r="T408" t="s">
        <v>31</v>
      </c>
    </row>
    <row r="409" spans="1:20" x14ac:dyDescent="0.35">
      <c r="A409" t="s">
        <v>467</v>
      </c>
      <c r="B409">
        <v>15</v>
      </c>
      <c r="C409" t="s">
        <v>33</v>
      </c>
      <c r="D409" t="s">
        <v>22</v>
      </c>
      <c r="E409">
        <v>115830</v>
      </c>
      <c r="F409" s="2" t="s">
        <v>1060</v>
      </c>
      <c r="G409" t="s">
        <v>59</v>
      </c>
      <c r="H409">
        <v>4</v>
      </c>
      <c r="I409" t="s">
        <v>25</v>
      </c>
      <c r="J409">
        <v>2</v>
      </c>
      <c r="K409" t="s">
        <v>26</v>
      </c>
      <c r="L409">
        <v>27</v>
      </c>
      <c r="M409" t="s">
        <v>27</v>
      </c>
      <c r="N409" t="s">
        <v>28</v>
      </c>
      <c r="O409">
        <v>1</v>
      </c>
      <c r="P409" t="s">
        <v>29</v>
      </c>
      <c r="Q409">
        <v>1</v>
      </c>
      <c r="R409" t="s">
        <v>27</v>
      </c>
      <c r="S409" t="s">
        <v>75</v>
      </c>
      <c r="T409" t="s">
        <v>31</v>
      </c>
    </row>
    <row r="410" spans="1:20" x14ac:dyDescent="0.35">
      <c r="A410" t="s">
        <v>468</v>
      </c>
      <c r="B410">
        <v>24</v>
      </c>
      <c r="C410" t="s">
        <v>33</v>
      </c>
      <c r="D410" t="s">
        <v>22</v>
      </c>
      <c r="E410">
        <v>355850</v>
      </c>
      <c r="F410" s="1" t="s">
        <v>1061</v>
      </c>
      <c r="G410" t="s">
        <v>24</v>
      </c>
      <c r="H410">
        <v>3</v>
      </c>
      <c r="I410" t="s">
        <v>25</v>
      </c>
      <c r="J410">
        <v>2</v>
      </c>
      <c r="K410" t="s">
        <v>52</v>
      </c>
      <c r="L410">
        <v>26</v>
      </c>
      <c r="M410" t="s">
        <v>27</v>
      </c>
      <c r="N410" t="s">
        <v>28</v>
      </c>
      <c r="O410">
        <v>1</v>
      </c>
      <c r="P410" t="s">
        <v>54</v>
      </c>
      <c r="Q410">
        <v>1</v>
      </c>
      <c r="R410" t="s">
        <v>30</v>
      </c>
      <c r="S410" t="s">
        <v>30</v>
      </c>
      <c r="T410" t="s">
        <v>31</v>
      </c>
    </row>
    <row r="411" spans="1:20" x14ac:dyDescent="0.35">
      <c r="A411" t="s">
        <v>469</v>
      </c>
      <c r="B411">
        <v>12</v>
      </c>
      <c r="C411" t="s">
        <v>21</v>
      </c>
      <c r="D411" t="s">
        <v>46</v>
      </c>
      <c r="E411">
        <v>103290</v>
      </c>
      <c r="F411" s="2" t="s">
        <v>1061</v>
      </c>
      <c r="G411" t="s">
        <v>38</v>
      </c>
      <c r="H411">
        <v>4</v>
      </c>
      <c r="I411" t="s">
        <v>25</v>
      </c>
      <c r="J411">
        <v>2</v>
      </c>
      <c r="K411" t="s">
        <v>26</v>
      </c>
      <c r="L411">
        <v>28</v>
      </c>
      <c r="M411" t="s">
        <v>27</v>
      </c>
      <c r="N411" t="s">
        <v>28</v>
      </c>
      <c r="O411">
        <v>3</v>
      </c>
      <c r="P411" t="s">
        <v>29</v>
      </c>
      <c r="Q411">
        <v>1</v>
      </c>
      <c r="R411" t="s">
        <v>30</v>
      </c>
      <c r="S411" t="s">
        <v>30</v>
      </c>
      <c r="T411" t="s">
        <v>31</v>
      </c>
    </row>
    <row r="412" spans="1:20" x14ac:dyDescent="0.35">
      <c r="A412" t="s">
        <v>470</v>
      </c>
      <c r="B412">
        <v>24</v>
      </c>
      <c r="C412" t="s">
        <v>33</v>
      </c>
      <c r="D412" t="s">
        <v>22</v>
      </c>
      <c r="E412">
        <v>216370</v>
      </c>
      <c r="F412" s="1" t="s">
        <v>1060</v>
      </c>
      <c r="G412" t="s">
        <v>24</v>
      </c>
      <c r="H412">
        <v>4</v>
      </c>
      <c r="I412" t="s">
        <v>35</v>
      </c>
      <c r="J412">
        <v>4</v>
      </c>
      <c r="K412" t="s">
        <v>52</v>
      </c>
      <c r="L412">
        <v>20</v>
      </c>
      <c r="M412" t="s">
        <v>27</v>
      </c>
      <c r="N412" t="s">
        <v>28</v>
      </c>
      <c r="O412">
        <v>1</v>
      </c>
      <c r="P412" t="s">
        <v>29</v>
      </c>
      <c r="Q412">
        <v>1</v>
      </c>
      <c r="R412" t="s">
        <v>30</v>
      </c>
      <c r="S412" t="s">
        <v>30</v>
      </c>
      <c r="T412" t="s">
        <v>31</v>
      </c>
    </row>
    <row r="413" spans="1:20" x14ac:dyDescent="0.35">
      <c r="A413" t="s">
        <v>471</v>
      </c>
      <c r="B413">
        <v>33</v>
      </c>
      <c r="C413" t="s">
        <v>21</v>
      </c>
      <c r="D413" t="s">
        <v>51</v>
      </c>
      <c r="E413">
        <v>797830</v>
      </c>
      <c r="F413" s="2" t="s">
        <v>1060</v>
      </c>
      <c r="G413" t="s">
        <v>38</v>
      </c>
      <c r="H413">
        <v>3</v>
      </c>
      <c r="I413" t="s">
        <v>25</v>
      </c>
      <c r="J413">
        <v>2</v>
      </c>
      <c r="K413" t="s">
        <v>52</v>
      </c>
      <c r="L413">
        <v>35</v>
      </c>
      <c r="M413" t="s">
        <v>27</v>
      </c>
      <c r="N413" t="s">
        <v>28</v>
      </c>
      <c r="O413">
        <v>2</v>
      </c>
      <c r="P413" t="s">
        <v>54</v>
      </c>
      <c r="Q413">
        <v>1</v>
      </c>
      <c r="R413" t="s">
        <v>30</v>
      </c>
      <c r="S413" t="s">
        <v>30</v>
      </c>
      <c r="T413" t="s">
        <v>31</v>
      </c>
    </row>
    <row r="414" spans="1:20" x14ac:dyDescent="0.35">
      <c r="A414" t="s">
        <v>472</v>
      </c>
      <c r="B414">
        <v>12</v>
      </c>
      <c r="C414" t="s">
        <v>21</v>
      </c>
      <c r="D414" t="s">
        <v>61</v>
      </c>
      <c r="E414">
        <v>252120</v>
      </c>
      <c r="F414" s="1" t="s">
        <v>1060</v>
      </c>
      <c r="G414" t="s">
        <v>57</v>
      </c>
      <c r="H414">
        <v>4</v>
      </c>
      <c r="I414" t="s">
        <v>25</v>
      </c>
      <c r="J414">
        <v>2</v>
      </c>
      <c r="K414" t="s">
        <v>52</v>
      </c>
      <c r="L414">
        <v>42</v>
      </c>
      <c r="M414" t="s">
        <v>86</v>
      </c>
      <c r="N414" t="s">
        <v>28</v>
      </c>
      <c r="O414">
        <v>2</v>
      </c>
      <c r="P414" t="s">
        <v>54</v>
      </c>
      <c r="Q414">
        <v>1</v>
      </c>
      <c r="R414" t="s">
        <v>30</v>
      </c>
      <c r="S414" t="s">
        <v>30</v>
      </c>
      <c r="T414" t="s">
        <v>31</v>
      </c>
    </row>
    <row r="415" spans="1:20" x14ac:dyDescent="0.35">
      <c r="A415" t="s">
        <v>473</v>
      </c>
      <c r="B415">
        <v>10</v>
      </c>
      <c r="C415" t="s">
        <v>33</v>
      </c>
      <c r="D415" t="s">
        <v>46</v>
      </c>
      <c r="E415">
        <v>175670</v>
      </c>
      <c r="F415" s="2" t="s">
        <v>1061</v>
      </c>
      <c r="G415" t="s">
        <v>34</v>
      </c>
      <c r="H415">
        <v>3</v>
      </c>
      <c r="I415" t="s">
        <v>25</v>
      </c>
      <c r="J415">
        <v>2</v>
      </c>
      <c r="K415" t="s">
        <v>47</v>
      </c>
      <c r="L415">
        <v>40</v>
      </c>
      <c r="M415" t="s">
        <v>27</v>
      </c>
      <c r="N415" t="s">
        <v>53</v>
      </c>
      <c r="O415">
        <v>1</v>
      </c>
      <c r="P415" t="s">
        <v>39</v>
      </c>
      <c r="Q415">
        <v>2</v>
      </c>
      <c r="R415" t="s">
        <v>27</v>
      </c>
      <c r="S415" t="s">
        <v>75</v>
      </c>
      <c r="T415" t="s">
        <v>31</v>
      </c>
    </row>
    <row r="416" spans="1:20" x14ac:dyDescent="0.35">
      <c r="A416" t="s">
        <v>474</v>
      </c>
      <c r="B416">
        <v>24</v>
      </c>
      <c r="C416" t="s">
        <v>33</v>
      </c>
      <c r="D416" t="s">
        <v>46</v>
      </c>
      <c r="E416">
        <v>151910</v>
      </c>
      <c r="F416" s="1" t="s">
        <v>23</v>
      </c>
      <c r="G416" t="s">
        <v>34</v>
      </c>
      <c r="H416">
        <v>4</v>
      </c>
      <c r="I416" t="s">
        <v>35</v>
      </c>
      <c r="J416">
        <v>2</v>
      </c>
      <c r="K416" t="s">
        <v>42</v>
      </c>
      <c r="L416">
        <v>35</v>
      </c>
      <c r="M416" t="s">
        <v>27</v>
      </c>
      <c r="N416" t="s">
        <v>28</v>
      </c>
      <c r="O416">
        <v>1</v>
      </c>
      <c r="P416" t="s">
        <v>29</v>
      </c>
      <c r="Q416">
        <v>1</v>
      </c>
      <c r="R416" t="s">
        <v>27</v>
      </c>
      <c r="S416" t="s">
        <v>30</v>
      </c>
      <c r="T416" t="s">
        <v>31</v>
      </c>
    </row>
    <row r="417" spans="1:20" x14ac:dyDescent="0.35">
      <c r="A417" t="s">
        <v>475</v>
      </c>
      <c r="B417">
        <v>36</v>
      </c>
      <c r="C417" t="s">
        <v>21</v>
      </c>
      <c r="D417" t="s">
        <v>51</v>
      </c>
      <c r="E417">
        <v>642620</v>
      </c>
      <c r="F417" s="2" t="s">
        <v>1060</v>
      </c>
      <c r="G417" t="s">
        <v>24</v>
      </c>
      <c r="H417">
        <v>2</v>
      </c>
      <c r="I417" t="s">
        <v>25</v>
      </c>
      <c r="J417">
        <v>2</v>
      </c>
      <c r="K417" t="s">
        <v>42</v>
      </c>
      <c r="L417">
        <v>35</v>
      </c>
      <c r="M417" t="s">
        <v>27</v>
      </c>
      <c r="N417" t="s">
        <v>28</v>
      </c>
      <c r="O417">
        <v>2</v>
      </c>
      <c r="P417" t="s">
        <v>29</v>
      </c>
      <c r="Q417">
        <v>2</v>
      </c>
      <c r="R417" t="s">
        <v>30</v>
      </c>
      <c r="S417" t="s">
        <v>30</v>
      </c>
      <c r="T417" t="s">
        <v>31</v>
      </c>
    </row>
    <row r="418" spans="1:20" x14ac:dyDescent="0.35">
      <c r="A418" t="s">
        <v>476</v>
      </c>
      <c r="B418">
        <v>12</v>
      </c>
      <c r="C418" t="s">
        <v>33</v>
      </c>
      <c r="D418" t="s">
        <v>46</v>
      </c>
      <c r="E418">
        <v>283690</v>
      </c>
      <c r="F418" s="1" t="s">
        <v>1060</v>
      </c>
      <c r="G418" t="s">
        <v>59</v>
      </c>
      <c r="H418">
        <v>4</v>
      </c>
      <c r="I418" t="s">
        <v>25</v>
      </c>
      <c r="J418">
        <v>1</v>
      </c>
      <c r="K418" t="s">
        <v>26</v>
      </c>
      <c r="L418">
        <v>33</v>
      </c>
      <c r="M418" t="s">
        <v>27</v>
      </c>
      <c r="N418" t="s">
        <v>28</v>
      </c>
      <c r="O418">
        <v>1</v>
      </c>
      <c r="P418" t="s">
        <v>39</v>
      </c>
      <c r="Q418">
        <v>2</v>
      </c>
      <c r="R418" t="s">
        <v>27</v>
      </c>
      <c r="S418" t="s">
        <v>30</v>
      </c>
      <c r="T418" t="s">
        <v>31</v>
      </c>
    </row>
    <row r="419" spans="1:20" x14ac:dyDescent="0.35">
      <c r="A419" t="s">
        <v>477</v>
      </c>
      <c r="B419">
        <v>18</v>
      </c>
      <c r="C419" t="s">
        <v>45</v>
      </c>
      <c r="D419" t="s">
        <v>37</v>
      </c>
      <c r="E419">
        <v>931810</v>
      </c>
      <c r="F419" s="2" t="s">
        <v>23</v>
      </c>
      <c r="G419" t="s">
        <v>34</v>
      </c>
      <c r="H419">
        <v>1</v>
      </c>
      <c r="I419" t="s">
        <v>35</v>
      </c>
      <c r="J419">
        <v>2</v>
      </c>
      <c r="K419" t="s">
        <v>52</v>
      </c>
      <c r="L419">
        <v>23</v>
      </c>
      <c r="M419" t="s">
        <v>27</v>
      </c>
      <c r="N419" t="s">
        <v>53</v>
      </c>
      <c r="O419">
        <v>2</v>
      </c>
      <c r="P419" t="s">
        <v>29</v>
      </c>
      <c r="Q419">
        <v>1</v>
      </c>
      <c r="R419" t="s">
        <v>30</v>
      </c>
      <c r="S419" t="s">
        <v>30</v>
      </c>
      <c r="T419" t="s">
        <v>31</v>
      </c>
    </row>
    <row r="420" spans="1:20" x14ac:dyDescent="0.35">
      <c r="A420" t="s">
        <v>478</v>
      </c>
      <c r="B420">
        <v>21</v>
      </c>
      <c r="C420" t="s">
        <v>33</v>
      </c>
      <c r="D420" t="s">
        <v>46</v>
      </c>
      <c r="E420">
        <v>306020</v>
      </c>
      <c r="F420" s="1" t="s">
        <v>1061</v>
      </c>
      <c r="G420" t="s">
        <v>38</v>
      </c>
      <c r="H420">
        <v>1</v>
      </c>
      <c r="I420" t="s">
        <v>35</v>
      </c>
      <c r="J420">
        <v>2</v>
      </c>
      <c r="K420" t="s">
        <v>52</v>
      </c>
      <c r="L420">
        <v>31</v>
      </c>
      <c r="M420" t="s">
        <v>69</v>
      </c>
      <c r="N420" t="s">
        <v>28</v>
      </c>
      <c r="O420">
        <v>1</v>
      </c>
      <c r="P420" t="s">
        <v>54</v>
      </c>
      <c r="Q420">
        <v>1</v>
      </c>
      <c r="R420" t="s">
        <v>27</v>
      </c>
      <c r="S420" t="s">
        <v>30</v>
      </c>
      <c r="T420" t="s">
        <v>31</v>
      </c>
    </row>
    <row r="421" spans="1:20" x14ac:dyDescent="0.35">
      <c r="A421" t="s">
        <v>479</v>
      </c>
      <c r="B421">
        <v>18</v>
      </c>
      <c r="C421" t="s">
        <v>33</v>
      </c>
      <c r="D421" t="s">
        <v>46</v>
      </c>
      <c r="E421">
        <v>114620</v>
      </c>
      <c r="F421" s="2" t="s">
        <v>23</v>
      </c>
      <c r="G421" t="s">
        <v>34</v>
      </c>
      <c r="H421">
        <v>4</v>
      </c>
      <c r="I421" t="s">
        <v>35</v>
      </c>
      <c r="J421">
        <v>2</v>
      </c>
      <c r="K421" t="s">
        <v>42</v>
      </c>
      <c r="L421">
        <v>33</v>
      </c>
      <c r="M421" t="s">
        <v>27</v>
      </c>
      <c r="N421" t="s">
        <v>28</v>
      </c>
      <c r="O421">
        <v>1</v>
      </c>
      <c r="P421" t="s">
        <v>29</v>
      </c>
      <c r="Q421">
        <v>1</v>
      </c>
      <c r="R421" t="s">
        <v>27</v>
      </c>
      <c r="S421" t="s">
        <v>30</v>
      </c>
      <c r="T421" t="s">
        <v>31</v>
      </c>
    </row>
    <row r="422" spans="1:20" x14ac:dyDescent="0.35">
      <c r="A422" t="s">
        <v>480</v>
      </c>
      <c r="B422">
        <v>15</v>
      </c>
      <c r="C422" t="s">
        <v>33</v>
      </c>
      <c r="D422" t="s">
        <v>46</v>
      </c>
      <c r="E422">
        <v>350460</v>
      </c>
      <c r="F422" s="1" t="s">
        <v>1062</v>
      </c>
      <c r="G422" t="s">
        <v>38</v>
      </c>
      <c r="H422">
        <v>2</v>
      </c>
      <c r="I422" t="s">
        <v>35</v>
      </c>
      <c r="J422">
        <v>3</v>
      </c>
      <c r="K422" t="s">
        <v>52</v>
      </c>
      <c r="L422">
        <v>20</v>
      </c>
      <c r="M422" t="s">
        <v>27</v>
      </c>
      <c r="N422" t="s">
        <v>53</v>
      </c>
      <c r="O422">
        <v>1</v>
      </c>
      <c r="P422" t="s">
        <v>29</v>
      </c>
      <c r="Q422">
        <v>1</v>
      </c>
      <c r="R422" t="s">
        <v>27</v>
      </c>
      <c r="S422" t="s">
        <v>30</v>
      </c>
      <c r="T422" t="s">
        <v>31</v>
      </c>
    </row>
    <row r="423" spans="1:20" x14ac:dyDescent="0.35">
      <c r="A423" t="s">
        <v>481</v>
      </c>
      <c r="B423">
        <v>12</v>
      </c>
      <c r="C423" t="s">
        <v>33</v>
      </c>
      <c r="D423" t="s">
        <v>51</v>
      </c>
      <c r="E423">
        <v>223080</v>
      </c>
      <c r="F423" s="2" t="s">
        <v>23</v>
      </c>
      <c r="G423" t="s">
        <v>34</v>
      </c>
      <c r="H423">
        <v>4</v>
      </c>
      <c r="I423" t="s">
        <v>25</v>
      </c>
      <c r="J423">
        <v>2</v>
      </c>
      <c r="K423" t="s">
        <v>52</v>
      </c>
      <c r="L423">
        <v>30</v>
      </c>
      <c r="M423" t="s">
        <v>27</v>
      </c>
      <c r="N423" t="s">
        <v>28</v>
      </c>
      <c r="O423">
        <v>1</v>
      </c>
      <c r="P423" t="s">
        <v>29</v>
      </c>
      <c r="Q423">
        <v>1</v>
      </c>
      <c r="R423" t="s">
        <v>27</v>
      </c>
      <c r="S423" t="s">
        <v>30</v>
      </c>
      <c r="T423" t="s">
        <v>31</v>
      </c>
    </row>
    <row r="424" spans="1:20" x14ac:dyDescent="0.35">
      <c r="A424" t="s">
        <v>482</v>
      </c>
      <c r="B424">
        <v>12</v>
      </c>
      <c r="C424" t="s">
        <v>21</v>
      </c>
      <c r="D424" t="s">
        <v>46</v>
      </c>
      <c r="E424">
        <v>105380</v>
      </c>
      <c r="F424" s="1" t="s">
        <v>1060</v>
      </c>
      <c r="G424" t="s">
        <v>38</v>
      </c>
      <c r="H424">
        <v>2</v>
      </c>
      <c r="I424" t="s">
        <v>25</v>
      </c>
      <c r="J424">
        <v>3</v>
      </c>
      <c r="K424" t="s">
        <v>26</v>
      </c>
      <c r="L424">
        <v>47</v>
      </c>
      <c r="M424" t="s">
        <v>27</v>
      </c>
      <c r="N424" t="s">
        <v>28</v>
      </c>
      <c r="O424">
        <v>2</v>
      </c>
      <c r="P424" t="s">
        <v>39</v>
      </c>
      <c r="Q424">
        <v>2</v>
      </c>
      <c r="R424" t="s">
        <v>27</v>
      </c>
      <c r="S424" t="s">
        <v>30</v>
      </c>
      <c r="T424" t="s">
        <v>31</v>
      </c>
    </row>
    <row r="425" spans="1:20" x14ac:dyDescent="0.35">
      <c r="A425" t="s">
        <v>483</v>
      </c>
      <c r="B425">
        <v>21</v>
      </c>
      <c r="C425" t="s">
        <v>45</v>
      </c>
      <c r="D425" t="s">
        <v>41</v>
      </c>
      <c r="E425">
        <v>175010</v>
      </c>
      <c r="F425" s="2" t="s">
        <v>1063</v>
      </c>
      <c r="G425" t="s">
        <v>38</v>
      </c>
      <c r="H425">
        <v>4</v>
      </c>
      <c r="I425" t="s">
        <v>25</v>
      </c>
      <c r="J425">
        <v>3</v>
      </c>
      <c r="K425" t="s">
        <v>26</v>
      </c>
      <c r="L425">
        <v>34</v>
      </c>
      <c r="M425" t="s">
        <v>27</v>
      </c>
      <c r="N425" t="s">
        <v>28</v>
      </c>
      <c r="O425">
        <v>2</v>
      </c>
      <c r="P425" t="s">
        <v>54</v>
      </c>
      <c r="Q425">
        <v>1</v>
      </c>
      <c r="R425" t="s">
        <v>27</v>
      </c>
      <c r="S425" t="s">
        <v>30</v>
      </c>
      <c r="T425" t="s">
        <v>31</v>
      </c>
    </row>
    <row r="426" spans="1:20" x14ac:dyDescent="0.35">
      <c r="A426" t="s">
        <v>484</v>
      </c>
      <c r="B426">
        <v>12</v>
      </c>
      <c r="C426" t="s">
        <v>33</v>
      </c>
      <c r="D426" t="s">
        <v>41</v>
      </c>
      <c r="E426">
        <v>303820</v>
      </c>
      <c r="F426" s="1" t="s">
        <v>23</v>
      </c>
      <c r="G426" t="s">
        <v>24</v>
      </c>
      <c r="H426">
        <v>1</v>
      </c>
      <c r="I426" t="s">
        <v>35</v>
      </c>
      <c r="J426">
        <v>2</v>
      </c>
      <c r="K426" t="s">
        <v>42</v>
      </c>
      <c r="L426">
        <v>25</v>
      </c>
      <c r="M426" t="s">
        <v>69</v>
      </c>
      <c r="N426" t="s">
        <v>28</v>
      </c>
      <c r="O426">
        <v>1</v>
      </c>
      <c r="P426" t="s">
        <v>29</v>
      </c>
      <c r="Q426">
        <v>1</v>
      </c>
      <c r="R426" t="s">
        <v>30</v>
      </c>
      <c r="S426" t="s">
        <v>30</v>
      </c>
      <c r="T426" t="s">
        <v>31</v>
      </c>
    </row>
    <row r="427" spans="1:20" x14ac:dyDescent="0.35">
      <c r="A427" t="s">
        <v>485</v>
      </c>
      <c r="B427">
        <v>18</v>
      </c>
      <c r="C427" t="s">
        <v>33</v>
      </c>
      <c r="D427" t="s">
        <v>51</v>
      </c>
      <c r="E427">
        <v>305690</v>
      </c>
      <c r="F427" s="2" t="s">
        <v>1060</v>
      </c>
      <c r="G427" t="s">
        <v>34</v>
      </c>
      <c r="H427">
        <v>1</v>
      </c>
      <c r="I427" t="s">
        <v>25</v>
      </c>
      <c r="J427">
        <v>3</v>
      </c>
      <c r="K427" t="s">
        <v>52</v>
      </c>
      <c r="L427">
        <v>21</v>
      </c>
      <c r="M427" t="s">
        <v>27</v>
      </c>
      <c r="N427" t="s">
        <v>53</v>
      </c>
      <c r="O427">
        <v>1</v>
      </c>
      <c r="P427" t="s">
        <v>29</v>
      </c>
      <c r="Q427">
        <v>1</v>
      </c>
      <c r="R427" t="s">
        <v>30</v>
      </c>
      <c r="S427" t="s">
        <v>30</v>
      </c>
      <c r="T427" t="s">
        <v>31</v>
      </c>
    </row>
    <row r="428" spans="1:20" x14ac:dyDescent="0.35">
      <c r="A428" t="s">
        <v>486</v>
      </c>
      <c r="B428">
        <v>28</v>
      </c>
      <c r="C428" t="s">
        <v>21</v>
      </c>
      <c r="D428" t="s">
        <v>22</v>
      </c>
      <c r="E428">
        <v>301730</v>
      </c>
      <c r="F428" s="1" t="s">
        <v>1060</v>
      </c>
      <c r="G428" t="s">
        <v>24</v>
      </c>
      <c r="H428">
        <v>4</v>
      </c>
      <c r="I428" t="s">
        <v>25</v>
      </c>
      <c r="J428">
        <v>2</v>
      </c>
      <c r="K428" t="s">
        <v>52</v>
      </c>
      <c r="L428">
        <v>29</v>
      </c>
      <c r="M428" t="s">
        <v>27</v>
      </c>
      <c r="N428" t="s">
        <v>28</v>
      </c>
      <c r="O428">
        <v>2</v>
      </c>
      <c r="P428" t="s">
        <v>29</v>
      </c>
      <c r="Q428">
        <v>1</v>
      </c>
      <c r="R428" t="s">
        <v>27</v>
      </c>
      <c r="S428" t="s">
        <v>30</v>
      </c>
      <c r="T428" t="s">
        <v>31</v>
      </c>
    </row>
    <row r="429" spans="1:20" x14ac:dyDescent="0.35">
      <c r="A429" t="s">
        <v>487</v>
      </c>
      <c r="B429">
        <v>18</v>
      </c>
      <c r="C429" t="s">
        <v>21</v>
      </c>
      <c r="D429" t="s">
        <v>22</v>
      </c>
      <c r="E429">
        <v>126390</v>
      </c>
      <c r="F429" s="2" t="s">
        <v>1062</v>
      </c>
      <c r="G429" t="s">
        <v>34</v>
      </c>
      <c r="H429">
        <v>4</v>
      </c>
      <c r="I429" t="s">
        <v>25</v>
      </c>
      <c r="J429">
        <v>3</v>
      </c>
      <c r="K429" t="s">
        <v>26</v>
      </c>
      <c r="L429">
        <v>46</v>
      </c>
      <c r="M429" t="s">
        <v>27</v>
      </c>
      <c r="N429" t="s">
        <v>28</v>
      </c>
      <c r="O429">
        <v>2</v>
      </c>
      <c r="P429" t="s">
        <v>29</v>
      </c>
      <c r="Q429">
        <v>1</v>
      </c>
      <c r="R429" t="s">
        <v>27</v>
      </c>
      <c r="S429" t="s">
        <v>30</v>
      </c>
      <c r="T429" t="s">
        <v>31</v>
      </c>
    </row>
    <row r="430" spans="1:20" x14ac:dyDescent="0.35">
      <c r="A430" t="s">
        <v>488</v>
      </c>
      <c r="B430">
        <v>9</v>
      </c>
      <c r="C430" t="s">
        <v>33</v>
      </c>
      <c r="D430" t="s">
        <v>41</v>
      </c>
      <c r="E430">
        <v>144430</v>
      </c>
      <c r="F430" s="1" t="s">
        <v>1060</v>
      </c>
      <c r="G430" t="s">
        <v>24</v>
      </c>
      <c r="H430">
        <v>1</v>
      </c>
      <c r="I430" t="s">
        <v>25</v>
      </c>
      <c r="J430">
        <v>4</v>
      </c>
      <c r="K430" t="s">
        <v>52</v>
      </c>
      <c r="L430">
        <v>20</v>
      </c>
      <c r="M430" t="s">
        <v>27</v>
      </c>
      <c r="N430" t="s">
        <v>28</v>
      </c>
      <c r="O430">
        <v>1</v>
      </c>
      <c r="P430" t="s">
        <v>29</v>
      </c>
      <c r="Q430">
        <v>1</v>
      </c>
      <c r="R430" t="s">
        <v>27</v>
      </c>
      <c r="S430" t="s">
        <v>30</v>
      </c>
      <c r="T430" t="s">
        <v>31</v>
      </c>
    </row>
    <row r="431" spans="1:20" x14ac:dyDescent="0.35">
      <c r="A431" t="s">
        <v>489</v>
      </c>
      <c r="B431">
        <v>18</v>
      </c>
      <c r="C431" t="s">
        <v>21</v>
      </c>
      <c r="D431" t="s">
        <v>99</v>
      </c>
      <c r="E431">
        <v>130900</v>
      </c>
      <c r="F431" s="2" t="s">
        <v>1060</v>
      </c>
      <c r="G431" t="s">
        <v>57</v>
      </c>
      <c r="H431">
        <v>2</v>
      </c>
      <c r="I431" t="s">
        <v>35</v>
      </c>
      <c r="J431">
        <v>4</v>
      </c>
      <c r="K431" t="s">
        <v>47</v>
      </c>
      <c r="L431">
        <v>55</v>
      </c>
      <c r="M431" t="s">
        <v>27</v>
      </c>
      <c r="N431" t="s">
        <v>43</v>
      </c>
      <c r="O431">
        <v>3</v>
      </c>
      <c r="P431" t="s">
        <v>105</v>
      </c>
      <c r="Q431">
        <v>2</v>
      </c>
      <c r="R431" t="s">
        <v>27</v>
      </c>
      <c r="S431" t="s">
        <v>30</v>
      </c>
      <c r="T431" t="s">
        <v>31</v>
      </c>
    </row>
    <row r="432" spans="1:20" x14ac:dyDescent="0.35">
      <c r="A432" t="s">
        <v>490</v>
      </c>
      <c r="B432">
        <v>5</v>
      </c>
      <c r="C432" t="s">
        <v>33</v>
      </c>
      <c r="D432" t="s">
        <v>61</v>
      </c>
      <c r="E432">
        <v>379280</v>
      </c>
      <c r="F432" s="1" t="s">
        <v>1060</v>
      </c>
      <c r="G432" t="s">
        <v>38</v>
      </c>
      <c r="H432">
        <v>1</v>
      </c>
      <c r="I432" t="s">
        <v>25</v>
      </c>
      <c r="J432">
        <v>4</v>
      </c>
      <c r="K432" t="s">
        <v>26</v>
      </c>
      <c r="L432">
        <v>74</v>
      </c>
      <c r="M432" t="s">
        <v>27</v>
      </c>
      <c r="N432" t="s">
        <v>28</v>
      </c>
      <c r="O432">
        <v>1</v>
      </c>
      <c r="P432" t="s">
        <v>39</v>
      </c>
      <c r="Q432">
        <v>1</v>
      </c>
      <c r="R432" t="s">
        <v>27</v>
      </c>
      <c r="S432" t="s">
        <v>30</v>
      </c>
      <c r="T432" t="s">
        <v>31</v>
      </c>
    </row>
    <row r="433" spans="1:20" x14ac:dyDescent="0.35">
      <c r="A433" t="s">
        <v>491</v>
      </c>
      <c r="B433">
        <v>24</v>
      </c>
      <c r="C433" t="s">
        <v>33</v>
      </c>
      <c r="D433" t="s">
        <v>131</v>
      </c>
      <c r="E433">
        <v>1246080</v>
      </c>
      <c r="F433" s="2" t="s">
        <v>1060</v>
      </c>
      <c r="G433" t="s">
        <v>34</v>
      </c>
      <c r="H433">
        <v>2</v>
      </c>
      <c r="I433" t="s">
        <v>25</v>
      </c>
      <c r="J433">
        <v>3</v>
      </c>
      <c r="K433" t="s">
        <v>52</v>
      </c>
      <c r="L433">
        <v>29</v>
      </c>
      <c r="M433" t="s">
        <v>69</v>
      </c>
      <c r="N433" t="s">
        <v>28</v>
      </c>
      <c r="O433">
        <v>2</v>
      </c>
      <c r="P433" t="s">
        <v>54</v>
      </c>
      <c r="Q433">
        <v>1</v>
      </c>
      <c r="R433" t="s">
        <v>30</v>
      </c>
      <c r="S433" t="s">
        <v>30</v>
      </c>
      <c r="T433" t="s">
        <v>31</v>
      </c>
    </row>
    <row r="434" spans="1:20" x14ac:dyDescent="0.35">
      <c r="A434" t="s">
        <v>492</v>
      </c>
      <c r="B434">
        <v>6</v>
      </c>
      <c r="C434" t="s">
        <v>21</v>
      </c>
      <c r="D434" t="s">
        <v>41</v>
      </c>
      <c r="E434">
        <v>205920</v>
      </c>
      <c r="F434" s="1" t="s">
        <v>1060</v>
      </c>
      <c r="G434" t="s">
        <v>57</v>
      </c>
      <c r="H434">
        <v>4</v>
      </c>
      <c r="I434" t="s">
        <v>25</v>
      </c>
      <c r="J434">
        <v>4</v>
      </c>
      <c r="K434" t="s">
        <v>47</v>
      </c>
      <c r="L434">
        <v>36</v>
      </c>
      <c r="M434" t="s">
        <v>27</v>
      </c>
      <c r="N434" t="s">
        <v>43</v>
      </c>
      <c r="O434">
        <v>3</v>
      </c>
      <c r="P434" t="s">
        <v>54</v>
      </c>
      <c r="Q434">
        <v>1</v>
      </c>
      <c r="R434" t="s">
        <v>30</v>
      </c>
      <c r="S434" t="s">
        <v>30</v>
      </c>
      <c r="T434" t="s">
        <v>31</v>
      </c>
    </row>
    <row r="435" spans="1:20" x14ac:dyDescent="0.35">
      <c r="A435" t="s">
        <v>493</v>
      </c>
      <c r="B435">
        <v>24</v>
      </c>
      <c r="C435" t="s">
        <v>21</v>
      </c>
      <c r="D435" t="s">
        <v>99</v>
      </c>
      <c r="E435">
        <v>226380</v>
      </c>
      <c r="F435" s="2" t="s">
        <v>1060</v>
      </c>
      <c r="G435" t="s">
        <v>34</v>
      </c>
      <c r="H435">
        <v>4</v>
      </c>
      <c r="I435" t="s">
        <v>25</v>
      </c>
      <c r="J435">
        <v>2</v>
      </c>
      <c r="K435" t="s">
        <v>26</v>
      </c>
      <c r="L435">
        <v>33</v>
      </c>
      <c r="M435" t="s">
        <v>27</v>
      </c>
      <c r="N435" t="s">
        <v>28</v>
      </c>
      <c r="O435">
        <v>2</v>
      </c>
      <c r="P435" t="s">
        <v>29</v>
      </c>
      <c r="Q435">
        <v>1</v>
      </c>
      <c r="R435" t="s">
        <v>30</v>
      </c>
      <c r="S435" t="s">
        <v>30</v>
      </c>
      <c r="T435" t="s">
        <v>31</v>
      </c>
    </row>
    <row r="436" spans="1:20" x14ac:dyDescent="0.35">
      <c r="A436" t="s">
        <v>494</v>
      </c>
      <c r="B436">
        <v>9</v>
      </c>
      <c r="C436" t="s">
        <v>33</v>
      </c>
      <c r="D436" t="s">
        <v>41</v>
      </c>
      <c r="E436">
        <v>234960</v>
      </c>
      <c r="F436" s="1" t="s">
        <v>1060</v>
      </c>
      <c r="G436" t="s">
        <v>34</v>
      </c>
      <c r="H436">
        <v>3</v>
      </c>
      <c r="I436" t="s">
        <v>25</v>
      </c>
      <c r="J436">
        <v>2</v>
      </c>
      <c r="K436" t="s">
        <v>26</v>
      </c>
      <c r="L436">
        <v>25</v>
      </c>
      <c r="M436" t="s">
        <v>27</v>
      </c>
      <c r="N436" t="s">
        <v>28</v>
      </c>
      <c r="O436">
        <v>1</v>
      </c>
      <c r="P436" t="s">
        <v>29</v>
      </c>
      <c r="Q436">
        <v>1</v>
      </c>
      <c r="R436" t="s">
        <v>27</v>
      </c>
      <c r="S436" t="s">
        <v>30</v>
      </c>
      <c r="T436" t="s">
        <v>31</v>
      </c>
    </row>
    <row r="437" spans="1:20" x14ac:dyDescent="0.35">
      <c r="A437" t="s">
        <v>495</v>
      </c>
      <c r="B437">
        <v>12</v>
      </c>
      <c r="C437" t="s">
        <v>33</v>
      </c>
      <c r="D437" t="s">
        <v>22</v>
      </c>
      <c r="E437">
        <v>163240</v>
      </c>
      <c r="F437" s="2" t="s">
        <v>23</v>
      </c>
      <c r="G437" t="s">
        <v>34</v>
      </c>
      <c r="H437">
        <v>2</v>
      </c>
      <c r="I437" t="s">
        <v>25</v>
      </c>
      <c r="J437">
        <v>1</v>
      </c>
      <c r="K437" t="s">
        <v>26</v>
      </c>
      <c r="L437">
        <v>25</v>
      </c>
      <c r="M437" t="s">
        <v>27</v>
      </c>
      <c r="N437" t="s">
        <v>28</v>
      </c>
      <c r="O437">
        <v>1</v>
      </c>
      <c r="P437" t="s">
        <v>29</v>
      </c>
      <c r="Q437">
        <v>1</v>
      </c>
      <c r="R437" t="s">
        <v>30</v>
      </c>
      <c r="S437" t="s">
        <v>30</v>
      </c>
      <c r="T437" t="s">
        <v>31</v>
      </c>
    </row>
    <row r="438" spans="1:20" x14ac:dyDescent="0.35">
      <c r="A438" t="s">
        <v>496</v>
      </c>
      <c r="B438">
        <v>6</v>
      </c>
      <c r="C438" t="s">
        <v>33</v>
      </c>
      <c r="D438" t="s">
        <v>99</v>
      </c>
      <c r="E438">
        <v>72600</v>
      </c>
      <c r="F438" s="1" t="s">
        <v>1061</v>
      </c>
      <c r="G438" t="s">
        <v>38</v>
      </c>
      <c r="H438">
        <v>2</v>
      </c>
      <c r="I438" t="s">
        <v>25</v>
      </c>
      <c r="J438">
        <v>4</v>
      </c>
      <c r="K438" t="s">
        <v>26</v>
      </c>
      <c r="L438">
        <v>23</v>
      </c>
      <c r="M438" t="s">
        <v>27</v>
      </c>
      <c r="N438" t="s">
        <v>53</v>
      </c>
      <c r="O438">
        <v>1</v>
      </c>
      <c r="P438" t="s">
        <v>39</v>
      </c>
      <c r="Q438">
        <v>1</v>
      </c>
      <c r="R438" t="s">
        <v>27</v>
      </c>
      <c r="S438" t="s">
        <v>30</v>
      </c>
      <c r="T438" t="s">
        <v>31</v>
      </c>
    </row>
    <row r="439" spans="1:20" x14ac:dyDescent="0.35">
      <c r="A439" t="s">
        <v>497</v>
      </c>
      <c r="B439">
        <v>24</v>
      </c>
      <c r="C439" t="s">
        <v>21</v>
      </c>
      <c r="D439" t="s">
        <v>46</v>
      </c>
      <c r="E439">
        <v>141570</v>
      </c>
      <c r="F439" s="2" t="s">
        <v>1062</v>
      </c>
      <c r="G439" t="s">
        <v>24</v>
      </c>
      <c r="H439">
        <v>4</v>
      </c>
      <c r="I439" t="s">
        <v>35</v>
      </c>
      <c r="J439">
        <v>4</v>
      </c>
      <c r="K439" t="s">
        <v>26</v>
      </c>
      <c r="L439">
        <v>37</v>
      </c>
      <c r="M439" t="s">
        <v>27</v>
      </c>
      <c r="N439" t="s">
        <v>28</v>
      </c>
      <c r="O439">
        <v>2</v>
      </c>
      <c r="P439" t="s">
        <v>29</v>
      </c>
      <c r="Q439">
        <v>1</v>
      </c>
      <c r="R439" t="s">
        <v>30</v>
      </c>
      <c r="S439" t="s">
        <v>30</v>
      </c>
      <c r="T439" t="s">
        <v>31</v>
      </c>
    </row>
    <row r="440" spans="1:20" x14ac:dyDescent="0.35">
      <c r="A440" t="s">
        <v>498</v>
      </c>
      <c r="B440">
        <v>42</v>
      </c>
      <c r="C440" t="s">
        <v>21</v>
      </c>
      <c r="D440" t="s">
        <v>99</v>
      </c>
      <c r="E440">
        <v>373340</v>
      </c>
      <c r="F440" s="1" t="s">
        <v>1060</v>
      </c>
      <c r="G440" t="s">
        <v>57</v>
      </c>
      <c r="H440">
        <v>4</v>
      </c>
      <c r="I440" t="s">
        <v>25</v>
      </c>
      <c r="J440">
        <v>4</v>
      </c>
      <c r="K440" t="s">
        <v>52</v>
      </c>
      <c r="L440">
        <v>65</v>
      </c>
      <c r="M440" t="s">
        <v>27</v>
      </c>
      <c r="N440" t="s">
        <v>28</v>
      </c>
      <c r="O440">
        <v>2</v>
      </c>
      <c r="P440" t="s">
        <v>105</v>
      </c>
      <c r="Q440">
        <v>1</v>
      </c>
      <c r="R440" t="s">
        <v>27</v>
      </c>
      <c r="S440" t="s">
        <v>30</v>
      </c>
      <c r="T440" t="s">
        <v>31</v>
      </c>
    </row>
    <row r="441" spans="1:20" x14ac:dyDescent="0.35">
      <c r="A441" t="s">
        <v>499</v>
      </c>
      <c r="B441">
        <v>12</v>
      </c>
      <c r="C441" t="s">
        <v>81</v>
      </c>
      <c r="D441" t="s">
        <v>61</v>
      </c>
      <c r="E441">
        <v>66990</v>
      </c>
      <c r="F441" s="2" t="s">
        <v>1060</v>
      </c>
      <c r="G441" t="s">
        <v>59</v>
      </c>
      <c r="H441">
        <v>4</v>
      </c>
      <c r="I441" t="s">
        <v>35</v>
      </c>
      <c r="J441">
        <v>1</v>
      </c>
      <c r="K441" t="s">
        <v>26</v>
      </c>
      <c r="L441">
        <v>26</v>
      </c>
      <c r="M441" t="s">
        <v>27</v>
      </c>
      <c r="N441" t="s">
        <v>28</v>
      </c>
      <c r="O441">
        <v>1</v>
      </c>
      <c r="P441" t="s">
        <v>105</v>
      </c>
      <c r="Q441">
        <v>1</v>
      </c>
      <c r="R441" t="s">
        <v>27</v>
      </c>
      <c r="S441" t="s">
        <v>30</v>
      </c>
      <c r="T441" t="s">
        <v>31</v>
      </c>
    </row>
    <row r="442" spans="1:20" x14ac:dyDescent="0.35">
      <c r="A442" t="s">
        <v>500</v>
      </c>
      <c r="B442">
        <v>12</v>
      </c>
      <c r="C442" t="s">
        <v>33</v>
      </c>
      <c r="D442" t="s">
        <v>46</v>
      </c>
      <c r="E442">
        <v>207240</v>
      </c>
      <c r="F442" s="1" t="s">
        <v>1060</v>
      </c>
      <c r="G442" t="s">
        <v>24</v>
      </c>
      <c r="H442">
        <v>4</v>
      </c>
      <c r="I442" t="s">
        <v>25</v>
      </c>
      <c r="J442">
        <v>4</v>
      </c>
      <c r="K442" t="s">
        <v>52</v>
      </c>
      <c r="L442">
        <v>39</v>
      </c>
      <c r="M442" t="s">
        <v>27</v>
      </c>
      <c r="N442" t="s">
        <v>28</v>
      </c>
      <c r="O442">
        <v>1</v>
      </c>
      <c r="P442" t="s">
        <v>54</v>
      </c>
      <c r="Q442">
        <v>1</v>
      </c>
      <c r="R442" t="s">
        <v>30</v>
      </c>
      <c r="S442" t="s">
        <v>30</v>
      </c>
      <c r="T442" t="s">
        <v>31</v>
      </c>
    </row>
    <row r="443" spans="1:20" x14ac:dyDescent="0.35">
      <c r="A443" t="s">
        <v>501</v>
      </c>
      <c r="B443">
        <v>12</v>
      </c>
      <c r="C443" t="s">
        <v>33</v>
      </c>
      <c r="D443" t="s">
        <v>41</v>
      </c>
      <c r="E443">
        <v>178200</v>
      </c>
      <c r="F443" s="2" t="s">
        <v>1060</v>
      </c>
      <c r="G443" t="s">
        <v>34</v>
      </c>
      <c r="H443">
        <v>2</v>
      </c>
      <c r="I443" t="s">
        <v>35</v>
      </c>
      <c r="J443">
        <v>3</v>
      </c>
      <c r="K443" t="s">
        <v>42</v>
      </c>
      <c r="L443">
        <v>30</v>
      </c>
      <c r="M443" t="s">
        <v>27</v>
      </c>
      <c r="N443" t="s">
        <v>28</v>
      </c>
      <c r="O443">
        <v>1</v>
      </c>
      <c r="P443" t="s">
        <v>29</v>
      </c>
      <c r="Q443">
        <v>1</v>
      </c>
      <c r="R443" t="s">
        <v>27</v>
      </c>
      <c r="S443" t="s">
        <v>30</v>
      </c>
      <c r="T443" t="s">
        <v>31</v>
      </c>
    </row>
    <row r="444" spans="1:20" x14ac:dyDescent="0.35">
      <c r="A444" t="s">
        <v>502</v>
      </c>
      <c r="B444">
        <v>20</v>
      </c>
      <c r="C444" t="s">
        <v>45</v>
      </c>
      <c r="D444" t="s">
        <v>131</v>
      </c>
      <c r="E444">
        <v>289190</v>
      </c>
      <c r="F444" s="1" t="s">
        <v>1060</v>
      </c>
      <c r="G444" t="s">
        <v>34</v>
      </c>
      <c r="H444">
        <v>2</v>
      </c>
      <c r="I444" t="s">
        <v>25</v>
      </c>
      <c r="J444">
        <v>3</v>
      </c>
      <c r="K444" t="s">
        <v>52</v>
      </c>
      <c r="L444">
        <v>29</v>
      </c>
      <c r="M444" t="s">
        <v>69</v>
      </c>
      <c r="N444" t="s">
        <v>28</v>
      </c>
      <c r="O444">
        <v>2</v>
      </c>
      <c r="P444" t="s">
        <v>29</v>
      </c>
      <c r="Q444">
        <v>1</v>
      </c>
      <c r="R444" t="s">
        <v>30</v>
      </c>
      <c r="S444" t="s">
        <v>30</v>
      </c>
      <c r="T444" t="s">
        <v>31</v>
      </c>
    </row>
    <row r="445" spans="1:20" x14ac:dyDescent="0.35">
      <c r="A445" t="s">
        <v>503</v>
      </c>
      <c r="B445">
        <v>12</v>
      </c>
      <c r="C445" t="s">
        <v>33</v>
      </c>
      <c r="D445" t="s">
        <v>37</v>
      </c>
      <c r="E445">
        <v>79090</v>
      </c>
      <c r="F445" s="2" t="s">
        <v>1060</v>
      </c>
      <c r="G445" t="s">
        <v>24</v>
      </c>
      <c r="H445">
        <v>4</v>
      </c>
      <c r="I445" t="s">
        <v>25</v>
      </c>
      <c r="J445">
        <v>4</v>
      </c>
      <c r="K445" t="s">
        <v>52</v>
      </c>
      <c r="L445">
        <v>41</v>
      </c>
      <c r="M445" t="s">
        <v>69</v>
      </c>
      <c r="N445" t="s">
        <v>28</v>
      </c>
      <c r="O445">
        <v>1</v>
      </c>
      <c r="P445" t="s">
        <v>39</v>
      </c>
      <c r="Q445">
        <v>2</v>
      </c>
      <c r="R445" t="s">
        <v>27</v>
      </c>
      <c r="S445" t="s">
        <v>30</v>
      </c>
      <c r="T445" t="s">
        <v>31</v>
      </c>
    </row>
    <row r="446" spans="1:20" x14ac:dyDescent="0.35">
      <c r="A446" t="s">
        <v>504</v>
      </c>
      <c r="B446">
        <v>48</v>
      </c>
      <c r="C446" t="s">
        <v>21</v>
      </c>
      <c r="D446" t="s">
        <v>41</v>
      </c>
      <c r="E446">
        <v>560560</v>
      </c>
      <c r="F446" s="1" t="s">
        <v>1060</v>
      </c>
      <c r="G446" t="s">
        <v>34</v>
      </c>
      <c r="H446">
        <v>2</v>
      </c>
      <c r="I446" t="s">
        <v>35</v>
      </c>
      <c r="J446">
        <v>3</v>
      </c>
      <c r="K446" t="s">
        <v>52</v>
      </c>
      <c r="L446">
        <v>30</v>
      </c>
      <c r="M446" t="s">
        <v>27</v>
      </c>
      <c r="N446" t="s">
        <v>28</v>
      </c>
      <c r="O446">
        <v>1</v>
      </c>
      <c r="P446" t="s">
        <v>54</v>
      </c>
      <c r="Q446">
        <v>1</v>
      </c>
      <c r="R446" t="s">
        <v>30</v>
      </c>
      <c r="S446" t="s">
        <v>30</v>
      </c>
      <c r="T446" t="s">
        <v>31</v>
      </c>
    </row>
    <row r="447" spans="1:20" x14ac:dyDescent="0.35">
      <c r="A447" t="s">
        <v>505</v>
      </c>
      <c r="B447">
        <v>9</v>
      </c>
      <c r="C447" t="s">
        <v>21</v>
      </c>
      <c r="D447" t="s">
        <v>37</v>
      </c>
      <c r="E447">
        <v>136840</v>
      </c>
      <c r="F447" s="2" t="s">
        <v>23</v>
      </c>
      <c r="G447" t="s">
        <v>24</v>
      </c>
      <c r="H447">
        <v>4</v>
      </c>
      <c r="I447" t="s">
        <v>35</v>
      </c>
      <c r="J447">
        <v>4</v>
      </c>
      <c r="K447" t="s">
        <v>42</v>
      </c>
      <c r="L447">
        <v>41</v>
      </c>
      <c r="M447" t="s">
        <v>27</v>
      </c>
      <c r="N447" t="s">
        <v>53</v>
      </c>
      <c r="O447">
        <v>2</v>
      </c>
      <c r="P447" t="s">
        <v>39</v>
      </c>
      <c r="Q447">
        <v>1</v>
      </c>
      <c r="R447" t="s">
        <v>27</v>
      </c>
      <c r="S447" t="s">
        <v>30</v>
      </c>
      <c r="T447" t="s">
        <v>31</v>
      </c>
    </row>
    <row r="448" spans="1:20" x14ac:dyDescent="0.35">
      <c r="A448" t="s">
        <v>506</v>
      </c>
      <c r="B448">
        <v>36</v>
      </c>
      <c r="C448" t="s">
        <v>33</v>
      </c>
      <c r="D448" t="s">
        <v>46</v>
      </c>
      <c r="E448">
        <v>202620</v>
      </c>
      <c r="F448" s="1" t="s">
        <v>1060</v>
      </c>
      <c r="G448" t="s">
        <v>59</v>
      </c>
      <c r="H448">
        <v>4</v>
      </c>
      <c r="I448" t="s">
        <v>35</v>
      </c>
      <c r="J448">
        <v>4</v>
      </c>
      <c r="K448" t="s">
        <v>52</v>
      </c>
      <c r="L448">
        <v>34</v>
      </c>
      <c r="M448" t="s">
        <v>27</v>
      </c>
      <c r="N448" t="s">
        <v>28</v>
      </c>
      <c r="O448">
        <v>1</v>
      </c>
      <c r="P448" t="s">
        <v>29</v>
      </c>
      <c r="Q448">
        <v>1</v>
      </c>
      <c r="R448" t="s">
        <v>30</v>
      </c>
      <c r="S448" t="s">
        <v>30</v>
      </c>
      <c r="T448" t="s">
        <v>31</v>
      </c>
    </row>
    <row r="449" spans="1:20" x14ac:dyDescent="0.35">
      <c r="A449" t="s">
        <v>507</v>
      </c>
      <c r="B449">
        <v>7</v>
      </c>
      <c r="C449" t="s">
        <v>33</v>
      </c>
      <c r="D449" t="s">
        <v>22</v>
      </c>
      <c r="E449">
        <v>283360</v>
      </c>
      <c r="F449" s="2" t="s">
        <v>1060</v>
      </c>
      <c r="G449" t="s">
        <v>34</v>
      </c>
      <c r="H449">
        <v>2</v>
      </c>
      <c r="I449" t="s">
        <v>25</v>
      </c>
      <c r="J449">
        <v>2</v>
      </c>
      <c r="K449" t="s">
        <v>26</v>
      </c>
      <c r="L449">
        <v>35</v>
      </c>
      <c r="M449" t="s">
        <v>27</v>
      </c>
      <c r="N449" t="s">
        <v>28</v>
      </c>
      <c r="O449">
        <v>1</v>
      </c>
      <c r="P449" t="s">
        <v>29</v>
      </c>
      <c r="Q449">
        <v>1</v>
      </c>
      <c r="R449" t="s">
        <v>27</v>
      </c>
      <c r="S449" t="s">
        <v>30</v>
      </c>
      <c r="T449" t="s">
        <v>31</v>
      </c>
    </row>
    <row r="450" spans="1:20" x14ac:dyDescent="0.35">
      <c r="A450" t="s">
        <v>508</v>
      </c>
      <c r="B450">
        <v>12</v>
      </c>
      <c r="C450" t="s">
        <v>33</v>
      </c>
      <c r="D450" t="s">
        <v>41</v>
      </c>
      <c r="E450">
        <v>156640</v>
      </c>
      <c r="F450" s="1" t="s">
        <v>23</v>
      </c>
      <c r="G450" t="s">
        <v>24</v>
      </c>
      <c r="H450">
        <v>3</v>
      </c>
      <c r="I450" t="s">
        <v>35</v>
      </c>
      <c r="J450">
        <v>4</v>
      </c>
      <c r="K450" t="s">
        <v>26</v>
      </c>
      <c r="L450">
        <v>55</v>
      </c>
      <c r="M450" t="s">
        <v>27</v>
      </c>
      <c r="N450" t="s">
        <v>28</v>
      </c>
      <c r="O450">
        <v>1</v>
      </c>
      <c r="P450" t="s">
        <v>54</v>
      </c>
      <c r="Q450">
        <v>1</v>
      </c>
      <c r="R450" t="s">
        <v>30</v>
      </c>
      <c r="S450" t="s">
        <v>30</v>
      </c>
      <c r="T450" t="s">
        <v>31</v>
      </c>
    </row>
    <row r="451" spans="1:20" x14ac:dyDescent="0.35">
      <c r="A451" t="s">
        <v>509</v>
      </c>
      <c r="B451">
        <v>15</v>
      </c>
      <c r="C451" t="s">
        <v>45</v>
      </c>
      <c r="D451" t="s">
        <v>99</v>
      </c>
      <c r="E451">
        <v>166320</v>
      </c>
      <c r="F451" s="2" t="s">
        <v>1062</v>
      </c>
      <c r="G451" t="s">
        <v>34</v>
      </c>
      <c r="H451">
        <v>3</v>
      </c>
      <c r="I451" t="s">
        <v>25</v>
      </c>
      <c r="J451">
        <v>3</v>
      </c>
      <c r="K451" t="s">
        <v>42</v>
      </c>
      <c r="L451">
        <v>61</v>
      </c>
      <c r="M451" t="s">
        <v>86</v>
      </c>
      <c r="N451" t="s">
        <v>28</v>
      </c>
      <c r="O451">
        <v>2</v>
      </c>
      <c r="P451" t="s">
        <v>29</v>
      </c>
      <c r="Q451">
        <v>1</v>
      </c>
      <c r="R451" t="s">
        <v>27</v>
      </c>
      <c r="S451" t="s">
        <v>30</v>
      </c>
      <c r="T451" t="s">
        <v>31</v>
      </c>
    </row>
    <row r="452" spans="1:20" x14ac:dyDescent="0.35">
      <c r="A452" t="s">
        <v>510</v>
      </c>
      <c r="B452">
        <v>36</v>
      </c>
      <c r="C452" t="s">
        <v>21</v>
      </c>
      <c r="D452" t="s">
        <v>51</v>
      </c>
      <c r="E452">
        <v>1215940</v>
      </c>
      <c r="F452" s="1" t="s">
        <v>23</v>
      </c>
      <c r="G452" t="s">
        <v>34</v>
      </c>
      <c r="H452">
        <v>4</v>
      </c>
      <c r="I452" t="s">
        <v>25</v>
      </c>
      <c r="J452">
        <v>2</v>
      </c>
      <c r="K452" t="s">
        <v>52</v>
      </c>
      <c r="L452">
        <v>30</v>
      </c>
      <c r="M452" t="s">
        <v>27</v>
      </c>
      <c r="N452" t="s">
        <v>28</v>
      </c>
      <c r="O452">
        <v>1</v>
      </c>
      <c r="P452" t="s">
        <v>54</v>
      </c>
      <c r="Q452">
        <v>1</v>
      </c>
      <c r="R452" t="s">
        <v>30</v>
      </c>
      <c r="S452" t="s">
        <v>30</v>
      </c>
      <c r="T452" t="s">
        <v>31</v>
      </c>
    </row>
    <row r="453" spans="1:20" x14ac:dyDescent="0.35">
      <c r="A453" t="s">
        <v>511</v>
      </c>
      <c r="B453">
        <v>6</v>
      </c>
      <c r="C453" t="s">
        <v>33</v>
      </c>
      <c r="D453" t="s">
        <v>22</v>
      </c>
      <c r="E453">
        <v>56980</v>
      </c>
      <c r="F453" s="2" t="s">
        <v>1060</v>
      </c>
      <c r="G453" t="s">
        <v>34</v>
      </c>
      <c r="H453">
        <v>3</v>
      </c>
      <c r="I453" t="s">
        <v>35</v>
      </c>
      <c r="J453">
        <v>1</v>
      </c>
      <c r="K453" t="s">
        <v>26</v>
      </c>
      <c r="L453">
        <v>29</v>
      </c>
      <c r="M453" t="s">
        <v>27</v>
      </c>
      <c r="N453" t="s">
        <v>28</v>
      </c>
      <c r="O453">
        <v>1</v>
      </c>
      <c r="P453" t="s">
        <v>29</v>
      </c>
      <c r="Q453">
        <v>1</v>
      </c>
      <c r="R453" t="s">
        <v>27</v>
      </c>
      <c r="S453" t="s">
        <v>30</v>
      </c>
      <c r="T453" t="s">
        <v>31</v>
      </c>
    </row>
    <row r="454" spans="1:20" x14ac:dyDescent="0.35">
      <c r="A454" t="s">
        <v>512</v>
      </c>
      <c r="B454">
        <v>12</v>
      </c>
      <c r="C454" t="s">
        <v>68</v>
      </c>
      <c r="D454" t="s">
        <v>41</v>
      </c>
      <c r="E454">
        <v>303490</v>
      </c>
      <c r="F454" s="1" t="s">
        <v>1060</v>
      </c>
      <c r="G454" t="s">
        <v>24</v>
      </c>
      <c r="H454">
        <v>2</v>
      </c>
      <c r="I454" t="s">
        <v>25</v>
      </c>
      <c r="J454">
        <v>4</v>
      </c>
      <c r="K454" t="s">
        <v>42</v>
      </c>
      <c r="L454">
        <v>34</v>
      </c>
      <c r="M454" t="s">
        <v>27</v>
      </c>
      <c r="N454" t="s">
        <v>28</v>
      </c>
      <c r="O454">
        <v>2</v>
      </c>
      <c r="P454" t="s">
        <v>29</v>
      </c>
      <c r="Q454">
        <v>1</v>
      </c>
      <c r="R454" t="s">
        <v>27</v>
      </c>
      <c r="S454" t="s">
        <v>30</v>
      </c>
      <c r="T454" t="s">
        <v>31</v>
      </c>
    </row>
    <row r="455" spans="1:20" x14ac:dyDescent="0.35">
      <c r="A455" t="s">
        <v>513</v>
      </c>
      <c r="B455">
        <v>24</v>
      </c>
      <c r="C455" t="s">
        <v>33</v>
      </c>
      <c r="D455" t="s">
        <v>51</v>
      </c>
      <c r="E455">
        <v>293700</v>
      </c>
      <c r="F455" s="2" t="s">
        <v>1060</v>
      </c>
      <c r="G455" t="s">
        <v>24</v>
      </c>
      <c r="H455">
        <v>4</v>
      </c>
      <c r="I455" t="s">
        <v>25</v>
      </c>
      <c r="J455">
        <v>4</v>
      </c>
      <c r="K455" t="s">
        <v>52</v>
      </c>
      <c r="L455">
        <v>35</v>
      </c>
      <c r="M455" t="s">
        <v>27</v>
      </c>
      <c r="N455" t="s">
        <v>28</v>
      </c>
      <c r="O455">
        <v>1</v>
      </c>
      <c r="P455" t="s">
        <v>54</v>
      </c>
      <c r="Q455">
        <v>1</v>
      </c>
      <c r="R455" t="s">
        <v>30</v>
      </c>
      <c r="S455" t="s">
        <v>30</v>
      </c>
      <c r="T455" t="s">
        <v>31</v>
      </c>
    </row>
    <row r="456" spans="1:20" x14ac:dyDescent="0.35">
      <c r="A456" t="s">
        <v>514</v>
      </c>
      <c r="B456">
        <v>24</v>
      </c>
      <c r="C456" t="s">
        <v>33</v>
      </c>
      <c r="D456" t="s">
        <v>46</v>
      </c>
      <c r="E456">
        <v>529870</v>
      </c>
      <c r="F456" s="1" t="s">
        <v>1060</v>
      </c>
      <c r="G456" t="s">
        <v>38</v>
      </c>
      <c r="H456">
        <v>2</v>
      </c>
      <c r="I456" t="s">
        <v>25</v>
      </c>
      <c r="J456">
        <v>3</v>
      </c>
      <c r="K456" t="s">
        <v>42</v>
      </c>
      <c r="L456">
        <v>31</v>
      </c>
      <c r="M456" t="s">
        <v>27</v>
      </c>
      <c r="N456" t="s">
        <v>28</v>
      </c>
      <c r="O456">
        <v>1</v>
      </c>
      <c r="P456" t="s">
        <v>29</v>
      </c>
      <c r="Q456">
        <v>1</v>
      </c>
      <c r="R456" t="s">
        <v>30</v>
      </c>
      <c r="S456" t="s">
        <v>30</v>
      </c>
      <c r="T456" t="s">
        <v>31</v>
      </c>
    </row>
    <row r="457" spans="1:20" x14ac:dyDescent="0.35">
      <c r="A457" t="s">
        <v>515</v>
      </c>
      <c r="B457">
        <v>24</v>
      </c>
      <c r="C457" t="s">
        <v>33</v>
      </c>
      <c r="D457" t="s">
        <v>51</v>
      </c>
      <c r="E457">
        <v>294690</v>
      </c>
      <c r="F457" s="2" t="s">
        <v>1060</v>
      </c>
      <c r="G457" t="s">
        <v>59</v>
      </c>
      <c r="H457">
        <v>4</v>
      </c>
      <c r="I457" t="s">
        <v>35</v>
      </c>
      <c r="J457">
        <v>1</v>
      </c>
      <c r="K457" t="s">
        <v>47</v>
      </c>
      <c r="L457">
        <v>29</v>
      </c>
      <c r="M457" t="s">
        <v>27</v>
      </c>
      <c r="N457" t="s">
        <v>28</v>
      </c>
      <c r="O457">
        <v>1</v>
      </c>
      <c r="P457" t="s">
        <v>54</v>
      </c>
      <c r="Q457">
        <v>1</v>
      </c>
      <c r="R457" t="s">
        <v>30</v>
      </c>
      <c r="S457" t="s">
        <v>30</v>
      </c>
      <c r="T457" t="s">
        <v>31</v>
      </c>
    </row>
    <row r="458" spans="1:20" x14ac:dyDescent="0.35">
      <c r="A458" t="s">
        <v>516</v>
      </c>
      <c r="B458">
        <v>11</v>
      </c>
      <c r="C458" t="s">
        <v>21</v>
      </c>
      <c r="D458" t="s">
        <v>46</v>
      </c>
      <c r="E458">
        <v>429550</v>
      </c>
      <c r="F458" s="1" t="s">
        <v>1060</v>
      </c>
      <c r="G458" t="s">
        <v>34</v>
      </c>
      <c r="H458">
        <v>2</v>
      </c>
      <c r="I458" t="s">
        <v>25</v>
      </c>
      <c r="J458">
        <v>2</v>
      </c>
      <c r="K458" t="s">
        <v>26</v>
      </c>
      <c r="L458">
        <v>36</v>
      </c>
      <c r="M458" t="s">
        <v>27</v>
      </c>
      <c r="N458" t="s">
        <v>53</v>
      </c>
      <c r="O458">
        <v>2</v>
      </c>
      <c r="P458" t="s">
        <v>29</v>
      </c>
      <c r="Q458">
        <v>2</v>
      </c>
      <c r="R458" t="s">
        <v>27</v>
      </c>
      <c r="S458" t="s">
        <v>30</v>
      </c>
      <c r="T458" t="s">
        <v>31</v>
      </c>
    </row>
    <row r="459" spans="1:20" x14ac:dyDescent="0.35">
      <c r="A459" t="s">
        <v>517</v>
      </c>
      <c r="B459">
        <v>12</v>
      </c>
      <c r="C459" t="s">
        <v>33</v>
      </c>
      <c r="D459" t="s">
        <v>51</v>
      </c>
      <c r="E459">
        <v>372460</v>
      </c>
      <c r="F459" s="2" t="s">
        <v>1060</v>
      </c>
      <c r="G459" t="s">
        <v>24</v>
      </c>
      <c r="H459">
        <v>3</v>
      </c>
      <c r="I459" t="s">
        <v>25</v>
      </c>
      <c r="J459">
        <v>4</v>
      </c>
      <c r="K459" t="s">
        <v>47</v>
      </c>
      <c r="L459">
        <v>35</v>
      </c>
      <c r="M459" t="s">
        <v>27</v>
      </c>
      <c r="N459" t="s">
        <v>43</v>
      </c>
      <c r="O459">
        <v>1</v>
      </c>
      <c r="P459" t="s">
        <v>29</v>
      </c>
      <c r="Q459">
        <v>1</v>
      </c>
      <c r="R459" t="s">
        <v>30</v>
      </c>
      <c r="S459" t="s">
        <v>30</v>
      </c>
      <c r="T459" t="s">
        <v>31</v>
      </c>
    </row>
    <row r="460" spans="1:20" x14ac:dyDescent="0.35">
      <c r="A460" t="s">
        <v>518</v>
      </c>
      <c r="B460">
        <v>6</v>
      </c>
      <c r="C460" t="s">
        <v>33</v>
      </c>
      <c r="D460" t="s">
        <v>94</v>
      </c>
      <c r="E460">
        <v>37730</v>
      </c>
      <c r="F460" s="1" t="s">
        <v>1060</v>
      </c>
      <c r="G460" t="s">
        <v>59</v>
      </c>
      <c r="H460">
        <v>4</v>
      </c>
      <c r="I460" t="s">
        <v>35</v>
      </c>
      <c r="J460">
        <v>1</v>
      </c>
      <c r="K460" t="s">
        <v>26</v>
      </c>
      <c r="L460">
        <v>27</v>
      </c>
      <c r="M460" t="s">
        <v>27</v>
      </c>
      <c r="N460" t="s">
        <v>28</v>
      </c>
      <c r="O460">
        <v>1</v>
      </c>
      <c r="P460" t="s">
        <v>29</v>
      </c>
      <c r="Q460">
        <v>1</v>
      </c>
      <c r="R460" t="s">
        <v>27</v>
      </c>
      <c r="S460" t="s">
        <v>30</v>
      </c>
      <c r="T460" t="s">
        <v>31</v>
      </c>
    </row>
    <row r="461" spans="1:20" x14ac:dyDescent="0.35">
      <c r="A461" t="s">
        <v>519</v>
      </c>
      <c r="B461">
        <v>18</v>
      </c>
      <c r="C461" t="s">
        <v>33</v>
      </c>
      <c r="D461" t="s">
        <v>22</v>
      </c>
      <c r="E461">
        <v>505340</v>
      </c>
      <c r="F461" s="2" t="s">
        <v>1060</v>
      </c>
      <c r="G461" t="s">
        <v>59</v>
      </c>
      <c r="H461">
        <v>3</v>
      </c>
      <c r="I461" t="s">
        <v>25</v>
      </c>
      <c r="J461">
        <v>2</v>
      </c>
      <c r="K461" t="s">
        <v>52</v>
      </c>
      <c r="L461">
        <v>32</v>
      </c>
      <c r="M461" t="s">
        <v>27</v>
      </c>
      <c r="N461" t="s">
        <v>28</v>
      </c>
      <c r="O461">
        <v>1</v>
      </c>
      <c r="P461" t="s">
        <v>29</v>
      </c>
      <c r="Q461">
        <v>1</v>
      </c>
      <c r="R461" t="s">
        <v>30</v>
      </c>
      <c r="S461" t="s">
        <v>30</v>
      </c>
      <c r="T461" t="s">
        <v>31</v>
      </c>
    </row>
    <row r="462" spans="1:20" x14ac:dyDescent="0.35">
      <c r="A462" t="s">
        <v>520</v>
      </c>
      <c r="B462">
        <v>36</v>
      </c>
      <c r="C462" t="s">
        <v>33</v>
      </c>
      <c r="D462" t="s">
        <v>41</v>
      </c>
      <c r="E462">
        <v>398200</v>
      </c>
      <c r="F462" s="1" t="s">
        <v>1060</v>
      </c>
      <c r="G462" t="s">
        <v>34</v>
      </c>
      <c r="H462">
        <v>1</v>
      </c>
      <c r="I462" t="s">
        <v>25</v>
      </c>
      <c r="J462">
        <v>2</v>
      </c>
      <c r="K462" t="s">
        <v>42</v>
      </c>
      <c r="L462">
        <v>37</v>
      </c>
      <c r="M462" t="s">
        <v>27</v>
      </c>
      <c r="N462" t="s">
        <v>28</v>
      </c>
      <c r="O462">
        <v>1</v>
      </c>
      <c r="P462" t="s">
        <v>29</v>
      </c>
      <c r="Q462">
        <v>2</v>
      </c>
      <c r="R462" t="s">
        <v>27</v>
      </c>
      <c r="S462" t="s">
        <v>30</v>
      </c>
      <c r="T462" t="s">
        <v>31</v>
      </c>
    </row>
    <row r="463" spans="1:20" x14ac:dyDescent="0.35">
      <c r="A463" t="s">
        <v>521</v>
      </c>
      <c r="B463">
        <v>15</v>
      </c>
      <c r="C463" t="s">
        <v>33</v>
      </c>
      <c r="D463" t="s">
        <v>46</v>
      </c>
      <c r="E463">
        <v>189310</v>
      </c>
      <c r="F463" s="2" t="s">
        <v>1060</v>
      </c>
      <c r="G463" t="s">
        <v>59</v>
      </c>
      <c r="H463">
        <v>2</v>
      </c>
      <c r="I463" t="s">
        <v>25</v>
      </c>
      <c r="J463">
        <v>3</v>
      </c>
      <c r="K463" t="s">
        <v>26</v>
      </c>
      <c r="L463">
        <v>36</v>
      </c>
      <c r="M463" t="s">
        <v>27</v>
      </c>
      <c r="N463" t="s">
        <v>28</v>
      </c>
      <c r="O463">
        <v>1</v>
      </c>
      <c r="P463" t="s">
        <v>29</v>
      </c>
      <c r="Q463">
        <v>1</v>
      </c>
      <c r="R463" t="s">
        <v>27</v>
      </c>
      <c r="S463" t="s">
        <v>30</v>
      </c>
      <c r="T463" t="s">
        <v>31</v>
      </c>
    </row>
    <row r="464" spans="1:20" x14ac:dyDescent="0.35">
      <c r="A464" t="s">
        <v>522</v>
      </c>
      <c r="B464">
        <v>12</v>
      </c>
      <c r="C464" t="s">
        <v>33</v>
      </c>
      <c r="D464" t="s">
        <v>41</v>
      </c>
      <c r="E464">
        <v>331870</v>
      </c>
      <c r="F464" s="1" t="s">
        <v>1060</v>
      </c>
      <c r="G464" t="s">
        <v>59</v>
      </c>
      <c r="H464">
        <v>3</v>
      </c>
      <c r="I464" t="s">
        <v>35</v>
      </c>
      <c r="J464">
        <v>1</v>
      </c>
      <c r="K464" t="s">
        <v>26</v>
      </c>
      <c r="L464">
        <v>34</v>
      </c>
      <c r="M464" t="s">
        <v>27</v>
      </c>
      <c r="N464" t="s">
        <v>53</v>
      </c>
      <c r="O464">
        <v>1</v>
      </c>
      <c r="P464" t="s">
        <v>54</v>
      </c>
      <c r="Q464">
        <v>1</v>
      </c>
      <c r="R464" t="s">
        <v>27</v>
      </c>
      <c r="S464" t="s">
        <v>30</v>
      </c>
      <c r="T464" t="s">
        <v>31</v>
      </c>
    </row>
    <row r="465" spans="1:20" x14ac:dyDescent="0.35">
      <c r="A465" t="s">
        <v>523</v>
      </c>
      <c r="B465">
        <v>12</v>
      </c>
      <c r="C465" t="s">
        <v>33</v>
      </c>
      <c r="D465" t="s">
        <v>217</v>
      </c>
      <c r="E465">
        <v>82940</v>
      </c>
      <c r="F465" s="2" t="s">
        <v>23</v>
      </c>
      <c r="G465" t="s">
        <v>24</v>
      </c>
      <c r="H465">
        <v>4</v>
      </c>
      <c r="I465" t="s">
        <v>25</v>
      </c>
      <c r="J465">
        <v>4</v>
      </c>
      <c r="K465" t="s">
        <v>42</v>
      </c>
      <c r="L465">
        <v>38</v>
      </c>
      <c r="M465" t="s">
        <v>27</v>
      </c>
      <c r="N465" t="s">
        <v>28</v>
      </c>
      <c r="O465">
        <v>2</v>
      </c>
      <c r="P465" t="s">
        <v>29</v>
      </c>
      <c r="Q465">
        <v>1</v>
      </c>
      <c r="R465" t="s">
        <v>27</v>
      </c>
      <c r="S465" t="s">
        <v>30</v>
      </c>
      <c r="T465" t="s">
        <v>31</v>
      </c>
    </row>
    <row r="466" spans="1:20" x14ac:dyDescent="0.35">
      <c r="A466" t="s">
        <v>524</v>
      </c>
      <c r="B466">
        <v>18</v>
      </c>
      <c r="C466" t="s">
        <v>33</v>
      </c>
      <c r="D466" t="s">
        <v>61</v>
      </c>
      <c r="E466">
        <v>214500</v>
      </c>
      <c r="F466" s="1" t="s">
        <v>1060</v>
      </c>
      <c r="G466" t="s">
        <v>38</v>
      </c>
      <c r="H466">
        <v>4</v>
      </c>
      <c r="I466" t="s">
        <v>25</v>
      </c>
      <c r="J466">
        <v>1</v>
      </c>
      <c r="K466" t="s">
        <v>52</v>
      </c>
      <c r="L466">
        <v>34</v>
      </c>
      <c r="M466" t="s">
        <v>86</v>
      </c>
      <c r="N466" t="s">
        <v>28</v>
      </c>
      <c r="O466">
        <v>2</v>
      </c>
      <c r="P466" t="s">
        <v>29</v>
      </c>
      <c r="Q466">
        <v>1</v>
      </c>
      <c r="R466" t="s">
        <v>30</v>
      </c>
      <c r="S466" t="s">
        <v>30</v>
      </c>
      <c r="T466" t="s">
        <v>31</v>
      </c>
    </row>
    <row r="467" spans="1:20" x14ac:dyDescent="0.35">
      <c r="A467" t="s">
        <v>525</v>
      </c>
      <c r="B467">
        <v>24</v>
      </c>
      <c r="C467" t="s">
        <v>33</v>
      </c>
      <c r="D467" t="s">
        <v>51</v>
      </c>
      <c r="E467">
        <v>321640</v>
      </c>
      <c r="F467" s="2" t="s">
        <v>1060</v>
      </c>
      <c r="G467" t="s">
        <v>34</v>
      </c>
      <c r="H467">
        <v>3</v>
      </c>
      <c r="I467" t="s">
        <v>25</v>
      </c>
      <c r="J467">
        <v>4</v>
      </c>
      <c r="K467" t="s">
        <v>47</v>
      </c>
      <c r="L467">
        <v>63</v>
      </c>
      <c r="M467" t="s">
        <v>69</v>
      </c>
      <c r="N467" t="s">
        <v>28</v>
      </c>
      <c r="O467">
        <v>1</v>
      </c>
      <c r="P467" t="s">
        <v>29</v>
      </c>
      <c r="Q467">
        <v>2</v>
      </c>
      <c r="R467" t="s">
        <v>30</v>
      </c>
      <c r="S467" t="s">
        <v>30</v>
      </c>
      <c r="T467" t="s">
        <v>31</v>
      </c>
    </row>
    <row r="468" spans="1:20" x14ac:dyDescent="0.35">
      <c r="A468" t="s">
        <v>526</v>
      </c>
      <c r="B468">
        <v>24</v>
      </c>
      <c r="C468" t="s">
        <v>45</v>
      </c>
      <c r="D468" t="s">
        <v>22</v>
      </c>
      <c r="E468">
        <v>182490</v>
      </c>
      <c r="F468" s="1" t="s">
        <v>1060</v>
      </c>
      <c r="G468" t="s">
        <v>59</v>
      </c>
      <c r="H468">
        <v>4</v>
      </c>
      <c r="I468" t="s">
        <v>35</v>
      </c>
      <c r="J468">
        <v>2</v>
      </c>
      <c r="K468" t="s">
        <v>52</v>
      </c>
      <c r="L468">
        <v>29</v>
      </c>
      <c r="M468" t="s">
        <v>27</v>
      </c>
      <c r="N468" t="s">
        <v>53</v>
      </c>
      <c r="O468">
        <v>1</v>
      </c>
      <c r="P468" t="s">
        <v>39</v>
      </c>
      <c r="Q468">
        <v>1</v>
      </c>
      <c r="R468" t="s">
        <v>30</v>
      </c>
      <c r="S468" t="s">
        <v>30</v>
      </c>
      <c r="T468" t="s">
        <v>31</v>
      </c>
    </row>
    <row r="469" spans="1:20" x14ac:dyDescent="0.35">
      <c r="A469" t="s">
        <v>527</v>
      </c>
      <c r="B469">
        <v>48</v>
      </c>
      <c r="C469" t="s">
        <v>45</v>
      </c>
      <c r="D469" t="s">
        <v>22</v>
      </c>
      <c r="E469">
        <v>796180</v>
      </c>
      <c r="F469" s="2" t="s">
        <v>23</v>
      </c>
      <c r="G469" t="s">
        <v>24</v>
      </c>
      <c r="H469">
        <v>3</v>
      </c>
      <c r="I469" t="s">
        <v>25</v>
      </c>
      <c r="J469">
        <v>3</v>
      </c>
      <c r="K469" t="s">
        <v>52</v>
      </c>
      <c r="L469">
        <v>32</v>
      </c>
      <c r="M469" t="s">
        <v>69</v>
      </c>
      <c r="N469" t="s">
        <v>28</v>
      </c>
      <c r="O469">
        <v>2</v>
      </c>
      <c r="P469" t="s">
        <v>29</v>
      </c>
      <c r="Q469">
        <v>2</v>
      </c>
      <c r="R469" t="s">
        <v>27</v>
      </c>
      <c r="S469" t="s">
        <v>30</v>
      </c>
      <c r="T469" t="s">
        <v>31</v>
      </c>
    </row>
    <row r="470" spans="1:20" x14ac:dyDescent="0.35">
      <c r="A470" t="s">
        <v>528</v>
      </c>
      <c r="B470">
        <v>33</v>
      </c>
      <c r="C470" t="s">
        <v>45</v>
      </c>
      <c r="D470" t="s">
        <v>61</v>
      </c>
      <c r="E470">
        <v>304040</v>
      </c>
      <c r="F470" s="1" t="s">
        <v>1060</v>
      </c>
      <c r="G470" t="s">
        <v>34</v>
      </c>
      <c r="H470">
        <v>2</v>
      </c>
      <c r="I470" t="s">
        <v>35</v>
      </c>
      <c r="J470">
        <v>2</v>
      </c>
      <c r="K470" t="s">
        <v>52</v>
      </c>
      <c r="L470">
        <v>26</v>
      </c>
      <c r="M470" t="s">
        <v>27</v>
      </c>
      <c r="N470" t="s">
        <v>28</v>
      </c>
      <c r="O470">
        <v>2</v>
      </c>
      <c r="P470" t="s">
        <v>29</v>
      </c>
      <c r="Q470">
        <v>1</v>
      </c>
      <c r="R470" t="s">
        <v>30</v>
      </c>
      <c r="S470" t="s">
        <v>30</v>
      </c>
      <c r="T470" t="s">
        <v>31</v>
      </c>
    </row>
    <row r="471" spans="1:20" x14ac:dyDescent="0.35">
      <c r="A471" t="s">
        <v>529</v>
      </c>
      <c r="B471">
        <v>24</v>
      </c>
      <c r="C471" t="s">
        <v>45</v>
      </c>
      <c r="D471" t="s">
        <v>51</v>
      </c>
      <c r="E471">
        <v>514690</v>
      </c>
      <c r="F471" s="2" t="s">
        <v>1060</v>
      </c>
      <c r="G471" t="s">
        <v>38</v>
      </c>
      <c r="H471">
        <v>3</v>
      </c>
      <c r="I471" t="s">
        <v>25</v>
      </c>
      <c r="J471">
        <v>3</v>
      </c>
      <c r="K471" t="s">
        <v>52</v>
      </c>
      <c r="L471">
        <v>35</v>
      </c>
      <c r="M471" t="s">
        <v>27</v>
      </c>
      <c r="N471" t="s">
        <v>28</v>
      </c>
      <c r="O471">
        <v>2</v>
      </c>
      <c r="P471" t="s">
        <v>39</v>
      </c>
      <c r="Q471">
        <v>1</v>
      </c>
      <c r="R471" t="s">
        <v>30</v>
      </c>
      <c r="S471" t="s">
        <v>30</v>
      </c>
      <c r="T471" t="s">
        <v>31</v>
      </c>
    </row>
    <row r="472" spans="1:20" x14ac:dyDescent="0.35">
      <c r="A472" t="s">
        <v>530</v>
      </c>
      <c r="B472">
        <v>24</v>
      </c>
      <c r="C472" t="s">
        <v>33</v>
      </c>
      <c r="D472" t="s">
        <v>22</v>
      </c>
      <c r="E472">
        <v>340120</v>
      </c>
      <c r="F472" s="1" t="s">
        <v>1063</v>
      </c>
      <c r="G472" t="s">
        <v>59</v>
      </c>
      <c r="H472">
        <v>3</v>
      </c>
      <c r="I472" t="s">
        <v>25</v>
      </c>
      <c r="J472">
        <v>2</v>
      </c>
      <c r="K472" t="s">
        <v>52</v>
      </c>
      <c r="L472">
        <v>22</v>
      </c>
      <c r="M472" t="s">
        <v>27</v>
      </c>
      <c r="N472" t="s">
        <v>53</v>
      </c>
      <c r="O472">
        <v>1</v>
      </c>
      <c r="P472" t="s">
        <v>29</v>
      </c>
      <c r="Q472">
        <v>1</v>
      </c>
      <c r="R472" t="s">
        <v>30</v>
      </c>
      <c r="S472" t="s">
        <v>30</v>
      </c>
      <c r="T472" t="s">
        <v>31</v>
      </c>
    </row>
    <row r="473" spans="1:20" x14ac:dyDescent="0.35">
      <c r="A473" t="s">
        <v>531</v>
      </c>
      <c r="B473">
        <v>6</v>
      </c>
      <c r="C473" t="s">
        <v>33</v>
      </c>
      <c r="D473" t="s">
        <v>37</v>
      </c>
      <c r="E473">
        <v>49280</v>
      </c>
      <c r="F473" s="2" t="s">
        <v>1060</v>
      </c>
      <c r="G473" t="s">
        <v>59</v>
      </c>
      <c r="H473">
        <v>4</v>
      </c>
      <c r="I473" t="s">
        <v>35</v>
      </c>
      <c r="J473">
        <v>4</v>
      </c>
      <c r="K473" t="s">
        <v>42</v>
      </c>
      <c r="L473">
        <v>23</v>
      </c>
      <c r="M473" t="s">
        <v>27</v>
      </c>
      <c r="N473" t="s">
        <v>28</v>
      </c>
      <c r="O473">
        <v>1</v>
      </c>
      <c r="P473" t="s">
        <v>29</v>
      </c>
      <c r="Q473">
        <v>1</v>
      </c>
      <c r="R473" t="s">
        <v>27</v>
      </c>
      <c r="S473" t="s">
        <v>30</v>
      </c>
      <c r="T473" t="s">
        <v>31</v>
      </c>
    </row>
    <row r="474" spans="1:20" x14ac:dyDescent="0.35">
      <c r="A474" t="s">
        <v>532</v>
      </c>
      <c r="B474">
        <v>9</v>
      </c>
      <c r="C474" t="s">
        <v>33</v>
      </c>
      <c r="D474" t="s">
        <v>46</v>
      </c>
      <c r="E474">
        <v>71940</v>
      </c>
      <c r="F474" s="1" t="s">
        <v>1060</v>
      </c>
      <c r="G474" t="s">
        <v>34</v>
      </c>
      <c r="H474">
        <v>4</v>
      </c>
      <c r="I474" t="s">
        <v>25</v>
      </c>
      <c r="J474">
        <v>3</v>
      </c>
      <c r="K474" t="s">
        <v>52</v>
      </c>
      <c r="L474">
        <v>28</v>
      </c>
      <c r="M474" t="s">
        <v>27</v>
      </c>
      <c r="N474" t="s">
        <v>28</v>
      </c>
      <c r="O474">
        <v>1</v>
      </c>
      <c r="P474" t="s">
        <v>39</v>
      </c>
      <c r="Q474">
        <v>1</v>
      </c>
      <c r="R474" t="s">
        <v>27</v>
      </c>
      <c r="S474" t="s">
        <v>30</v>
      </c>
      <c r="T474" t="s">
        <v>31</v>
      </c>
    </row>
    <row r="475" spans="1:20" x14ac:dyDescent="0.35">
      <c r="A475" t="s">
        <v>533</v>
      </c>
      <c r="B475">
        <v>6</v>
      </c>
      <c r="C475" t="s">
        <v>33</v>
      </c>
      <c r="D475" t="s">
        <v>217</v>
      </c>
      <c r="E475">
        <v>136180</v>
      </c>
      <c r="F475" s="2" t="s">
        <v>23</v>
      </c>
      <c r="G475" t="s">
        <v>57</v>
      </c>
      <c r="H475">
        <v>4</v>
      </c>
      <c r="I475" t="s">
        <v>25</v>
      </c>
      <c r="J475">
        <v>4</v>
      </c>
      <c r="K475" t="s">
        <v>42</v>
      </c>
      <c r="L475">
        <v>36</v>
      </c>
      <c r="M475" t="s">
        <v>27</v>
      </c>
      <c r="N475" t="s">
        <v>28</v>
      </c>
      <c r="O475">
        <v>1</v>
      </c>
      <c r="P475" t="s">
        <v>54</v>
      </c>
      <c r="Q475">
        <v>2</v>
      </c>
      <c r="R475" t="s">
        <v>30</v>
      </c>
      <c r="S475" t="s">
        <v>30</v>
      </c>
      <c r="T475" t="s">
        <v>31</v>
      </c>
    </row>
    <row r="476" spans="1:20" x14ac:dyDescent="0.35">
      <c r="A476" t="s">
        <v>534</v>
      </c>
      <c r="B476">
        <v>18</v>
      </c>
      <c r="C476" t="s">
        <v>21</v>
      </c>
      <c r="D476" t="s">
        <v>22</v>
      </c>
      <c r="E476">
        <v>136950</v>
      </c>
      <c r="F476" s="1" t="s">
        <v>1060</v>
      </c>
      <c r="G476" t="s">
        <v>34</v>
      </c>
      <c r="H476">
        <v>4</v>
      </c>
      <c r="I476" t="s">
        <v>25</v>
      </c>
      <c r="J476">
        <v>2</v>
      </c>
      <c r="K476" t="s">
        <v>52</v>
      </c>
      <c r="L476">
        <v>33</v>
      </c>
      <c r="M476" t="s">
        <v>27</v>
      </c>
      <c r="N476" t="s">
        <v>28</v>
      </c>
      <c r="O476">
        <v>1</v>
      </c>
      <c r="P476" t="s">
        <v>29</v>
      </c>
      <c r="Q476">
        <v>1</v>
      </c>
      <c r="R476" t="s">
        <v>27</v>
      </c>
      <c r="S476" t="s">
        <v>30</v>
      </c>
      <c r="T476" t="s">
        <v>31</v>
      </c>
    </row>
    <row r="477" spans="1:20" x14ac:dyDescent="0.35">
      <c r="A477" t="s">
        <v>535</v>
      </c>
      <c r="B477">
        <v>18</v>
      </c>
      <c r="C477" t="s">
        <v>68</v>
      </c>
      <c r="D477" t="s">
        <v>41</v>
      </c>
      <c r="E477">
        <v>342540</v>
      </c>
      <c r="F477" s="2" t="s">
        <v>1060</v>
      </c>
      <c r="G477" t="s">
        <v>59</v>
      </c>
      <c r="H477">
        <v>1</v>
      </c>
      <c r="I477" t="s">
        <v>35</v>
      </c>
      <c r="J477">
        <v>4</v>
      </c>
      <c r="K477" t="s">
        <v>42</v>
      </c>
      <c r="L477">
        <v>26</v>
      </c>
      <c r="M477" t="s">
        <v>27</v>
      </c>
      <c r="N477" t="s">
        <v>53</v>
      </c>
      <c r="O477">
        <v>1</v>
      </c>
      <c r="P477" t="s">
        <v>29</v>
      </c>
      <c r="Q477">
        <v>1</v>
      </c>
      <c r="R477" t="s">
        <v>27</v>
      </c>
      <c r="S477" t="s">
        <v>30</v>
      </c>
      <c r="T477" t="s">
        <v>31</v>
      </c>
    </row>
    <row r="478" spans="1:20" x14ac:dyDescent="0.35">
      <c r="A478" t="s">
        <v>536</v>
      </c>
      <c r="B478">
        <v>39</v>
      </c>
      <c r="C478" t="s">
        <v>33</v>
      </c>
      <c r="D478" t="s">
        <v>51</v>
      </c>
      <c r="E478">
        <v>282590</v>
      </c>
      <c r="F478" s="1" t="s">
        <v>1061</v>
      </c>
      <c r="G478" t="s">
        <v>34</v>
      </c>
      <c r="H478">
        <v>4</v>
      </c>
      <c r="I478" t="s">
        <v>25</v>
      </c>
      <c r="J478">
        <v>4</v>
      </c>
      <c r="K478" t="s">
        <v>52</v>
      </c>
      <c r="L478">
        <v>24</v>
      </c>
      <c r="M478" t="s">
        <v>27</v>
      </c>
      <c r="N478" t="s">
        <v>28</v>
      </c>
      <c r="O478">
        <v>1</v>
      </c>
      <c r="P478" t="s">
        <v>29</v>
      </c>
      <c r="Q478">
        <v>1</v>
      </c>
      <c r="R478" t="s">
        <v>27</v>
      </c>
      <c r="S478" t="s">
        <v>30</v>
      </c>
      <c r="T478" t="s">
        <v>31</v>
      </c>
    </row>
    <row r="479" spans="1:20" x14ac:dyDescent="0.35">
      <c r="A479" t="s">
        <v>537</v>
      </c>
      <c r="B479">
        <v>24</v>
      </c>
      <c r="C479" t="s">
        <v>33</v>
      </c>
      <c r="D479" t="s">
        <v>22</v>
      </c>
      <c r="E479">
        <v>566720</v>
      </c>
      <c r="F479" s="2" t="s">
        <v>1060</v>
      </c>
      <c r="G479" t="s">
        <v>38</v>
      </c>
      <c r="H479">
        <v>4</v>
      </c>
      <c r="I479" t="s">
        <v>25</v>
      </c>
      <c r="J479">
        <v>2</v>
      </c>
      <c r="K479" t="s">
        <v>52</v>
      </c>
      <c r="L479">
        <v>25</v>
      </c>
      <c r="M479" t="s">
        <v>69</v>
      </c>
      <c r="N479" t="s">
        <v>28</v>
      </c>
      <c r="O479">
        <v>1</v>
      </c>
      <c r="P479" t="s">
        <v>29</v>
      </c>
      <c r="Q479">
        <v>1</v>
      </c>
      <c r="R479" t="s">
        <v>27</v>
      </c>
      <c r="S479" t="s">
        <v>30</v>
      </c>
      <c r="T479" t="s">
        <v>31</v>
      </c>
    </row>
    <row r="480" spans="1:20" x14ac:dyDescent="0.35">
      <c r="A480" t="s">
        <v>538</v>
      </c>
      <c r="B480">
        <v>12</v>
      </c>
      <c r="C480" t="s">
        <v>33</v>
      </c>
      <c r="D480" t="s">
        <v>61</v>
      </c>
      <c r="E480">
        <v>114070</v>
      </c>
      <c r="F480" s="1" t="s">
        <v>1063</v>
      </c>
      <c r="G480" t="s">
        <v>38</v>
      </c>
      <c r="H480">
        <v>3</v>
      </c>
      <c r="I480" t="s">
        <v>25</v>
      </c>
      <c r="J480">
        <v>4</v>
      </c>
      <c r="K480" t="s">
        <v>26</v>
      </c>
      <c r="L480">
        <v>39</v>
      </c>
      <c r="M480" t="s">
        <v>27</v>
      </c>
      <c r="N480" t="s">
        <v>28</v>
      </c>
      <c r="O480">
        <v>1</v>
      </c>
      <c r="P480" t="s">
        <v>39</v>
      </c>
      <c r="Q480">
        <v>1</v>
      </c>
      <c r="R480" t="s">
        <v>27</v>
      </c>
      <c r="S480" t="s">
        <v>30</v>
      </c>
      <c r="T480" t="s">
        <v>31</v>
      </c>
    </row>
    <row r="481" spans="1:20" x14ac:dyDescent="0.35">
      <c r="A481" t="s">
        <v>539</v>
      </c>
      <c r="B481">
        <v>15</v>
      </c>
      <c r="C481" t="s">
        <v>21</v>
      </c>
      <c r="D481" t="s">
        <v>41</v>
      </c>
      <c r="E481">
        <v>162580</v>
      </c>
      <c r="F481" s="2" t="s">
        <v>1060</v>
      </c>
      <c r="G481" t="s">
        <v>24</v>
      </c>
      <c r="H481">
        <v>4</v>
      </c>
      <c r="I481" t="s">
        <v>25</v>
      </c>
      <c r="J481">
        <v>4</v>
      </c>
      <c r="K481" t="s">
        <v>52</v>
      </c>
      <c r="L481">
        <v>44</v>
      </c>
      <c r="M481" t="s">
        <v>27</v>
      </c>
      <c r="N481" t="s">
        <v>28</v>
      </c>
      <c r="O481">
        <v>2</v>
      </c>
      <c r="P481" t="s">
        <v>29</v>
      </c>
      <c r="Q481">
        <v>2</v>
      </c>
      <c r="R481" t="s">
        <v>30</v>
      </c>
      <c r="S481" t="s">
        <v>30</v>
      </c>
      <c r="T481" t="s">
        <v>31</v>
      </c>
    </row>
    <row r="482" spans="1:20" x14ac:dyDescent="0.35">
      <c r="A482" t="s">
        <v>540</v>
      </c>
      <c r="B482">
        <v>12</v>
      </c>
      <c r="C482" t="s">
        <v>21</v>
      </c>
      <c r="D482" t="s">
        <v>22</v>
      </c>
      <c r="E482">
        <v>393030</v>
      </c>
      <c r="F482" s="1" t="s">
        <v>1060</v>
      </c>
      <c r="G482" t="s">
        <v>34</v>
      </c>
      <c r="H482">
        <v>1</v>
      </c>
      <c r="I482" t="s">
        <v>35</v>
      </c>
      <c r="J482">
        <v>1</v>
      </c>
      <c r="K482" t="s">
        <v>26</v>
      </c>
      <c r="L482">
        <v>23</v>
      </c>
      <c r="M482" t="s">
        <v>27</v>
      </c>
      <c r="N482" t="s">
        <v>28</v>
      </c>
      <c r="O482">
        <v>1</v>
      </c>
      <c r="P482" t="s">
        <v>39</v>
      </c>
      <c r="Q482">
        <v>1</v>
      </c>
      <c r="R482" t="s">
        <v>27</v>
      </c>
      <c r="S482" t="s">
        <v>30</v>
      </c>
      <c r="T482" t="s">
        <v>31</v>
      </c>
    </row>
    <row r="483" spans="1:20" x14ac:dyDescent="0.35">
      <c r="A483" t="s">
        <v>541</v>
      </c>
      <c r="B483">
        <v>24</v>
      </c>
      <c r="C483" t="s">
        <v>33</v>
      </c>
      <c r="D483" t="s">
        <v>46</v>
      </c>
      <c r="E483">
        <v>132110</v>
      </c>
      <c r="F483" s="2" t="s">
        <v>1060</v>
      </c>
      <c r="G483" t="s">
        <v>59</v>
      </c>
      <c r="H483">
        <v>4</v>
      </c>
      <c r="I483" t="s">
        <v>25</v>
      </c>
      <c r="J483">
        <v>1</v>
      </c>
      <c r="K483" t="s">
        <v>42</v>
      </c>
      <c r="L483">
        <v>26</v>
      </c>
      <c r="M483" t="s">
        <v>27</v>
      </c>
      <c r="N483" t="s">
        <v>28</v>
      </c>
      <c r="O483">
        <v>1</v>
      </c>
      <c r="P483" t="s">
        <v>29</v>
      </c>
      <c r="Q483">
        <v>1</v>
      </c>
      <c r="R483" t="s">
        <v>27</v>
      </c>
      <c r="S483" t="s">
        <v>30</v>
      </c>
      <c r="T483" t="s">
        <v>31</v>
      </c>
    </row>
    <row r="484" spans="1:20" x14ac:dyDescent="0.35">
      <c r="A484" t="s">
        <v>542</v>
      </c>
      <c r="B484">
        <v>30</v>
      </c>
      <c r="C484" t="s">
        <v>33</v>
      </c>
      <c r="D484" t="s">
        <v>41</v>
      </c>
      <c r="E484">
        <v>398420</v>
      </c>
      <c r="F484" s="1" t="s">
        <v>1062</v>
      </c>
      <c r="G484" t="s">
        <v>24</v>
      </c>
      <c r="H484">
        <v>4</v>
      </c>
      <c r="I484" t="s">
        <v>35</v>
      </c>
      <c r="J484">
        <v>4</v>
      </c>
      <c r="K484" t="s">
        <v>42</v>
      </c>
      <c r="L484">
        <v>57</v>
      </c>
      <c r="M484" t="s">
        <v>27</v>
      </c>
      <c r="N484" t="s">
        <v>53</v>
      </c>
      <c r="O484">
        <v>2</v>
      </c>
      <c r="P484" t="s">
        <v>29</v>
      </c>
      <c r="Q484">
        <v>1</v>
      </c>
      <c r="R484" t="s">
        <v>30</v>
      </c>
      <c r="S484" t="s">
        <v>30</v>
      </c>
      <c r="T484" t="s">
        <v>31</v>
      </c>
    </row>
    <row r="485" spans="1:20" x14ac:dyDescent="0.35">
      <c r="A485" t="s">
        <v>543</v>
      </c>
      <c r="B485">
        <v>15</v>
      </c>
      <c r="C485" t="s">
        <v>45</v>
      </c>
      <c r="D485" t="s">
        <v>41</v>
      </c>
      <c r="E485">
        <v>105600</v>
      </c>
      <c r="F485" s="2" t="s">
        <v>1062</v>
      </c>
      <c r="G485" t="s">
        <v>38</v>
      </c>
      <c r="H485">
        <v>3</v>
      </c>
      <c r="I485" t="s">
        <v>35</v>
      </c>
      <c r="J485">
        <v>2</v>
      </c>
      <c r="K485" t="s">
        <v>42</v>
      </c>
      <c r="L485">
        <v>30</v>
      </c>
      <c r="M485" t="s">
        <v>27</v>
      </c>
      <c r="N485" t="s">
        <v>28</v>
      </c>
      <c r="O485">
        <v>2</v>
      </c>
      <c r="P485" t="s">
        <v>29</v>
      </c>
      <c r="Q485">
        <v>1</v>
      </c>
      <c r="R485" t="s">
        <v>27</v>
      </c>
      <c r="S485" t="s">
        <v>30</v>
      </c>
      <c r="T485" t="s">
        <v>31</v>
      </c>
    </row>
    <row r="486" spans="1:20" x14ac:dyDescent="0.35">
      <c r="A486" t="s">
        <v>544</v>
      </c>
      <c r="B486">
        <v>12</v>
      </c>
      <c r="C486" t="s">
        <v>21</v>
      </c>
      <c r="D486" t="s">
        <v>46</v>
      </c>
      <c r="E486">
        <v>127930</v>
      </c>
      <c r="F486" s="1" t="s">
        <v>1061</v>
      </c>
      <c r="G486" t="s">
        <v>34</v>
      </c>
      <c r="H486">
        <v>4</v>
      </c>
      <c r="I486" t="s">
        <v>25</v>
      </c>
      <c r="J486">
        <v>4</v>
      </c>
      <c r="K486" t="s">
        <v>26</v>
      </c>
      <c r="L486">
        <v>44</v>
      </c>
      <c r="M486" t="s">
        <v>27</v>
      </c>
      <c r="N486" t="s">
        <v>28</v>
      </c>
      <c r="O486">
        <v>1</v>
      </c>
      <c r="P486" t="s">
        <v>29</v>
      </c>
      <c r="Q486">
        <v>1</v>
      </c>
      <c r="R486" t="s">
        <v>30</v>
      </c>
      <c r="S486" t="s">
        <v>30</v>
      </c>
      <c r="T486" t="s">
        <v>31</v>
      </c>
    </row>
    <row r="487" spans="1:20" x14ac:dyDescent="0.35">
      <c r="A487" t="s">
        <v>545</v>
      </c>
      <c r="B487">
        <v>6</v>
      </c>
      <c r="C487" t="s">
        <v>45</v>
      </c>
      <c r="D487" t="s">
        <v>46</v>
      </c>
      <c r="E487">
        <v>132990</v>
      </c>
      <c r="F487" s="2" t="s">
        <v>1060</v>
      </c>
      <c r="G487" t="s">
        <v>57</v>
      </c>
      <c r="H487">
        <v>4</v>
      </c>
      <c r="I487" t="s">
        <v>25</v>
      </c>
      <c r="J487">
        <v>4</v>
      </c>
      <c r="K487" t="s">
        <v>42</v>
      </c>
      <c r="L487">
        <v>47</v>
      </c>
      <c r="M487" t="s">
        <v>27</v>
      </c>
      <c r="N487" t="s">
        <v>28</v>
      </c>
      <c r="O487">
        <v>1</v>
      </c>
      <c r="P487" t="s">
        <v>54</v>
      </c>
      <c r="Q487">
        <v>1</v>
      </c>
      <c r="R487" t="s">
        <v>30</v>
      </c>
      <c r="S487" t="s">
        <v>30</v>
      </c>
      <c r="T487" t="s">
        <v>31</v>
      </c>
    </row>
    <row r="488" spans="1:20" x14ac:dyDescent="0.35">
      <c r="A488" t="s">
        <v>546</v>
      </c>
      <c r="B488">
        <v>12</v>
      </c>
      <c r="C488" t="s">
        <v>33</v>
      </c>
      <c r="D488" t="s">
        <v>22</v>
      </c>
      <c r="E488">
        <v>338470</v>
      </c>
      <c r="F488" s="1" t="s">
        <v>1060</v>
      </c>
      <c r="G488" t="s">
        <v>34</v>
      </c>
      <c r="H488">
        <v>2</v>
      </c>
      <c r="I488" t="s">
        <v>25</v>
      </c>
      <c r="J488">
        <v>4</v>
      </c>
      <c r="K488" t="s">
        <v>52</v>
      </c>
      <c r="L488">
        <v>52</v>
      </c>
      <c r="M488" t="s">
        <v>27</v>
      </c>
      <c r="N488" t="s">
        <v>28</v>
      </c>
      <c r="O488">
        <v>1</v>
      </c>
      <c r="P488" t="s">
        <v>29</v>
      </c>
      <c r="Q488">
        <v>1</v>
      </c>
      <c r="R488" t="s">
        <v>30</v>
      </c>
      <c r="S488" t="s">
        <v>30</v>
      </c>
      <c r="T488" t="s">
        <v>31</v>
      </c>
    </row>
    <row r="489" spans="1:20" x14ac:dyDescent="0.35">
      <c r="A489" t="s">
        <v>547</v>
      </c>
      <c r="B489">
        <v>24</v>
      </c>
      <c r="C489" t="s">
        <v>33</v>
      </c>
      <c r="D489" t="s">
        <v>46</v>
      </c>
      <c r="E489">
        <v>413270</v>
      </c>
      <c r="F489" s="2" t="s">
        <v>1060</v>
      </c>
      <c r="G489" t="s">
        <v>24</v>
      </c>
      <c r="H489">
        <v>4</v>
      </c>
      <c r="I489" t="s">
        <v>35</v>
      </c>
      <c r="J489">
        <v>4</v>
      </c>
      <c r="K489" t="s">
        <v>47</v>
      </c>
      <c r="L489">
        <v>62</v>
      </c>
      <c r="M489" t="s">
        <v>27</v>
      </c>
      <c r="N489" t="s">
        <v>43</v>
      </c>
      <c r="O489">
        <v>1</v>
      </c>
      <c r="P489" t="s">
        <v>29</v>
      </c>
      <c r="Q489">
        <v>1</v>
      </c>
      <c r="R489" t="s">
        <v>30</v>
      </c>
      <c r="S489" t="s">
        <v>30</v>
      </c>
      <c r="T489" t="s">
        <v>31</v>
      </c>
    </row>
    <row r="490" spans="1:20" x14ac:dyDescent="0.35">
      <c r="A490" t="s">
        <v>548</v>
      </c>
      <c r="B490">
        <v>10</v>
      </c>
      <c r="C490" t="s">
        <v>33</v>
      </c>
      <c r="D490" t="s">
        <v>46</v>
      </c>
      <c r="E490">
        <v>155980</v>
      </c>
      <c r="F490" s="1" t="s">
        <v>1063</v>
      </c>
      <c r="G490" t="s">
        <v>34</v>
      </c>
      <c r="H490">
        <v>3</v>
      </c>
      <c r="I490" t="s">
        <v>25</v>
      </c>
      <c r="J490">
        <v>2</v>
      </c>
      <c r="K490" t="s">
        <v>26</v>
      </c>
      <c r="L490">
        <v>35</v>
      </c>
      <c r="M490" t="s">
        <v>27</v>
      </c>
      <c r="N490" t="s">
        <v>53</v>
      </c>
      <c r="O490">
        <v>1</v>
      </c>
      <c r="P490" t="s">
        <v>39</v>
      </c>
      <c r="Q490">
        <v>1</v>
      </c>
      <c r="R490" t="s">
        <v>27</v>
      </c>
      <c r="S490" t="s">
        <v>75</v>
      </c>
      <c r="T490" t="s">
        <v>31</v>
      </c>
    </row>
    <row r="491" spans="1:20" x14ac:dyDescent="0.35">
      <c r="A491" t="s">
        <v>549</v>
      </c>
      <c r="B491">
        <v>6</v>
      </c>
      <c r="C491" t="s">
        <v>33</v>
      </c>
      <c r="D491" t="s">
        <v>46</v>
      </c>
      <c r="E491">
        <v>386980</v>
      </c>
      <c r="F491" s="2" t="s">
        <v>1060</v>
      </c>
      <c r="G491" t="s">
        <v>34</v>
      </c>
      <c r="H491">
        <v>2</v>
      </c>
      <c r="I491" t="s">
        <v>25</v>
      </c>
      <c r="J491">
        <v>3</v>
      </c>
      <c r="K491" t="s">
        <v>42</v>
      </c>
      <c r="L491">
        <v>26</v>
      </c>
      <c r="M491" t="s">
        <v>27</v>
      </c>
      <c r="N491" t="s">
        <v>53</v>
      </c>
      <c r="O491">
        <v>1</v>
      </c>
      <c r="P491" t="s">
        <v>29</v>
      </c>
      <c r="Q491">
        <v>1</v>
      </c>
      <c r="R491" t="s">
        <v>27</v>
      </c>
      <c r="S491" t="s">
        <v>30</v>
      </c>
      <c r="T491" t="s">
        <v>31</v>
      </c>
    </row>
    <row r="492" spans="1:20" x14ac:dyDescent="0.35">
      <c r="A492" t="s">
        <v>550</v>
      </c>
      <c r="B492">
        <v>12</v>
      </c>
      <c r="C492" t="s">
        <v>21</v>
      </c>
      <c r="D492" t="s">
        <v>22</v>
      </c>
      <c r="E492">
        <v>212740</v>
      </c>
      <c r="F492" s="1" t="s">
        <v>1060</v>
      </c>
      <c r="G492" t="s">
        <v>24</v>
      </c>
      <c r="H492">
        <v>2</v>
      </c>
      <c r="I492" t="s">
        <v>25</v>
      </c>
      <c r="J492">
        <v>2</v>
      </c>
      <c r="K492" t="s">
        <v>47</v>
      </c>
      <c r="L492">
        <v>26</v>
      </c>
      <c r="M492" t="s">
        <v>27</v>
      </c>
      <c r="N492" t="s">
        <v>28</v>
      </c>
      <c r="O492">
        <v>2</v>
      </c>
      <c r="P492" t="s">
        <v>29</v>
      </c>
      <c r="Q492">
        <v>1</v>
      </c>
      <c r="R492" t="s">
        <v>27</v>
      </c>
      <c r="S492" t="s">
        <v>30</v>
      </c>
      <c r="T492" t="s">
        <v>31</v>
      </c>
    </row>
    <row r="493" spans="1:20" x14ac:dyDescent="0.35">
      <c r="A493" t="s">
        <v>551</v>
      </c>
      <c r="B493">
        <v>27</v>
      </c>
      <c r="C493" t="s">
        <v>68</v>
      </c>
      <c r="D493" t="s">
        <v>61</v>
      </c>
      <c r="E493">
        <v>914980</v>
      </c>
      <c r="F493" s="2" t="s">
        <v>1060</v>
      </c>
      <c r="G493" t="s">
        <v>24</v>
      </c>
      <c r="H493">
        <v>2</v>
      </c>
      <c r="I493" t="s">
        <v>35</v>
      </c>
      <c r="J493">
        <v>4</v>
      </c>
      <c r="K493" t="s">
        <v>47</v>
      </c>
      <c r="L493">
        <v>42</v>
      </c>
      <c r="M493" t="s">
        <v>27</v>
      </c>
      <c r="N493" t="s">
        <v>43</v>
      </c>
      <c r="O493">
        <v>2</v>
      </c>
      <c r="P493" t="s">
        <v>54</v>
      </c>
      <c r="Q493">
        <v>1</v>
      </c>
      <c r="R493" t="s">
        <v>30</v>
      </c>
      <c r="S493" t="s">
        <v>30</v>
      </c>
      <c r="T493" t="s">
        <v>31</v>
      </c>
    </row>
    <row r="494" spans="1:20" x14ac:dyDescent="0.35">
      <c r="A494" t="s">
        <v>552</v>
      </c>
      <c r="B494">
        <v>6</v>
      </c>
      <c r="C494" t="s">
        <v>21</v>
      </c>
      <c r="D494" t="s">
        <v>22</v>
      </c>
      <c r="E494">
        <v>136070</v>
      </c>
      <c r="F494" s="1" t="s">
        <v>1063</v>
      </c>
      <c r="G494" t="s">
        <v>34</v>
      </c>
      <c r="H494">
        <v>1</v>
      </c>
      <c r="I494" t="s">
        <v>35</v>
      </c>
      <c r="J494">
        <v>1</v>
      </c>
      <c r="K494" t="s">
        <v>42</v>
      </c>
      <c r="L494">
        <v>27</v>
      </c>
      <c r="M494" t="s">
        <v>27</v>
      </c>
      <c r="N494" t="s">
        <v>28</v>
      </c>
      <c r="O494">
        <v>2</v>
      </c>
      <c r="P494" t="s">
        <v>29</v>
      </c>
      <c r="Q494">
        <v>1</v>
      </c>
      <c r="R494" t="s">
        <v>27</v>
      </c>
      <c r="S494" t="s">
        <v>30</v>
      </c>
      <c r="T494" t="s">
        <v>31</v>
      </c>
    </row>
    <row r="495" spans="1:20" x14ac:dyDescent="0.35">
      <c r="A495" t="s">
        <v>553</v>
      </c>
      <c r="B495">
        <v>6</v>
      </c>
      <c r="C495" t="s">
        <v>33</v>
      </c>
      <c r="D495" t="s">
        <v>22</v>
      </c>
      <c r="E495">
        <v>40480</v>
      </c>
      <c r="F495" s="2" t="s">
        <v>23</v>
      </c>
      <c r="G495" t="s">
        <v>24</v>
      </c>
      <c r="H495">
        <v>4</v>
      </c>
      <c r="I495" t="s">
        <v>25</v>
      </c>
      <c r="J495">
        <v>4</v>
      </c>
      <c r="K495" t="s">
        <v>42</v>
      </c>
      <c r="L495">
        <v>38</v>
      </c>
      <c r="M495" t="s">
        <v>27</v>
      </c>
      <c r="N495" t="s">
        <v>28</v>
      </c>
      <c r="O495">
        <v>1</v>
      </c>
      <c r="P495" t="s">
        <v>29</v>
      </c>
      <c r="Q495">
        <v>1</v>
      </c>
      <c r="R495" t="s">
        <v>27</v>
      </c>
      <c r="S495" t="s">
        <v>30</v>
      </c>
      <c r="T495" t="s">
        <v>31</v>
      </c>
    </row>
    <row r="496" spans="1:20" x14ac:dyDescent="0.35">
      <c r="A496" t="s">
        <v>554</v>
      </c>
      <c r="B496">
        <v>12</v>
      </c>
      <c r="C496" t="s">
        <v>21</v>
      </c>
      <c r="D496" t="s">
        <v>46</v>
      </c>
      <c r="E496">
        <v>233420</v>
      </c>
      <c r="F496" s="1" t="s">
        <v>1060</v>
      </c>
      <c r="G496" t="s">
        <v>34</v>
      </c>
      <c r="H496">
        <v>3</v>
      </c>
      <c r="I496" t="s">
        <v>25</v>
      </c>
      <c r="J496">
        <v>2</v>
      </c>
      <c r="K496" t="s">
        <v>26</v>
      </c>
      <c r="L496">
        <v>39</v>
      </c>
      <c r="M496" t="s">
        <v>27</v>
      </c>
      <c r="N496" t="s">
        <v>53</v>
      </c>
      <c r="O496">
        <v>2</v>
      </c>
      <c r="P496" t="s">
        <v>39</v>
      </c>
      <c r="Q496">
        <v>2</v>
      </c>
      <c r="R496" t="s">
        <v>27</v>
      </c>
      <c r="S496" t="s">
        <v>75</v>
      </c>
      <c r="T496" t="s">
        <v>31</v>
      </c>
    </row>
    <row r="497" spans="1:20" x14ac:dyDescent="0.35">
      <c r="A497" t="s">
        <v>555</v>
      </c>
      <c r="B497">
        <v>24</v>
      </c>
      <c r="C497" t="s">
        <v>33</v>
      </c>
      <c r="D497" t="s">
        <v>41</v>
      </c>
      <c r="E497">
        <v>329560</v>
      </c>
      <c r="F497" s="2" t="s">
        <v>23</v>
      </c>
      <c r="G497" t="s">
        <v>34</v>
      </c>
      <c r="H497">
        <v>2</v>
      </c>
      <c r="I497" t="s">
        <v>25</v>
      </c>
      <c r="J497">
        <v>4</v>
      </c>
      <c r="K497" t="s">
        <v>52</v>
      </c>
      <c r="L497">
        <v>20</v>
      </c>
      <c r="M497" t="s">
        <v>27</v>
      </c>
      <c r="N497" t="s">
        <v>28</v>
      </c>
      <c r="O497">
        <v>1</v>
      </c>
      <c r="P497" t="s">
        <v>29</v>
      </c>
      <c r="Q497">
        <v>1</v>
      </c>
      <c r="R497" t="s">
        <v>27</v>
      </c>
      <c r="S497" t="s">
        <v>30</v>
      </c>
      <c r="T497" t="s">
        <v>31</v>
      </c>
    </row>
    <row r="498" spans="1:20" x14ac:dyDescent="0.35">
      <c r="A498" t="s">
        <v>556</v>
      </c>
      <c r="B498">
        <v>36</v>
      </c>
      <c r="C498" t="s">
        <v>33</v>
      </c>
      <c r="D498" t="s">
        <v>41</v>
      </c>
      <c r="E498">
        <v>993740</v>
      </c>
      <c r="F498" s="1" t="s">
        <v>1063</v>
      </c>
      <c r="G498" t="s">
        <v>59</v>
      </c>
      <c r="H498">
        <v>4</v>
      </c>
      <c r="I498" t="s">
        <v>25</v>
      </c>
      <c r="J498">
        <v>1</v>
      </c>
      <c r="K498" t="s">
        <v>47</v>
      </c>
      <c r="L498">
        <v>29</v>
      </c>
      <c r="M498" t="s">
        <v>27</v>
      </c>
      <c r="N498" t="s">
        <v>53</v>
      </c>
      <c r="O498">
        <v>1</v>
      </c>
      <c r="P498" t="s">
        <v>54</v>
      </c>
      <c r="Q498">
        <v>1</v>
      </c>
      <c r="R498" t="s">
        <v>30</v>
      </c>
      <c r="S498" t="s">
        <v>30</v>
      </c>
      <c r="T498" t="s">
        <v>31</v>
      </c>
    </row>
    <row r="499" spans="1:20" x14ac:dyDescent="0.35">
      <c r="A499" t="s">
        <v>557</v>
      </c>
      <c r="B499">
        <v>24</v>
      </c>
      <c r="C499" t="s">
        <v>21</v>
      </c>
      <c r="D499" t="s">
        <v>41</v>
      </c>
      <c r="E499">
        <v>174350</v>
      </c>
      <c r="F499" s="2" t="s">
        <v>1060</v>
      </c>
      <c r="G499" t="s">
        <v>38</v>
      </c>
      <c r="H499">
        <v>4</v>
      </c>
      <c r="I499" t="s">
        <v>25</v>
      </c>
      <c r="J499">
        <v>3</v>
      </c>
      <c r="K499" t="s">
        <v>42</v>
      </c>
      <c r="L499">
        <v>40</v>
      </c>
      <c r="M499" t="s">
        <v>27</v>
      </c>
      <c r="N499" t="s">
        <v>28</v>
      </c>
      <c r="O499">
        <v>2</v>
      </c>
      <c r="P499" t="s">
        <v>29</v>
      </c>
      <c r="Q499">
        <v>1</v>
      </c>
      <c r="R499" t="s">
        <v>27</v>
      </c>
      <c r="S499" t="s">
        <v>30</v>
      </c>
      <c r="T499" t="s">
        <v>31</v>
      </c>
    </row>
    <row r="500" spans="1:20" x14ac:dyDescent="0.35">
      <c r="A500" t="s">
        <v>558</v>
      </c>
      <c r="B500">
        <v>18</v>
      </c>
      <c r="C500" t="s">
        <v>33</v>
      </c>
      <c r="D500" t="s">
        <v>22</v>
      </c>
      <c r="E500">
        <v>143110</v>
      </c>
      <c r="F500" s="1" t="s">
        <v>1060</v>
      </c>
      <c r="G500" t="s">
        <v>24</v>
      </c>
      <c r="H500">
        <v>4</v>
      </c>
      <c r="I500" t="s">
        <v>25</v>
      </c>
      <c r="J500">
        <v>2</v>
      </c>
      <c r="K500" t="s">
        <v>26</v>
      </c>
      <c r="L500">
        <v>32</v>
      </c>
      <c r="M500" t="s">
        <v>27</v>
      </c>
      <c r="N500" t="s">
        <v>28</v>
      </c>
      <c r="O500">
        <v>1</v>
      </c>
      <c r="P500" t="s">
        <v>39</v>
      </c>
      <c r="Q500">
        <v>1</v>
      </c>
      <c r="R500" t="s">
        <v>27</v>
      </c>
      <c r="S500" t="s">
        <v>30</v>
      </c>
      <c r="T500" t="s">
        <v>31</v>
      </c>
    </row>
    <row r="501" spans="1:20" x14ac:dyDescent="0.35">
      <c r="A501" t="s">
        <v>559</v>
      </c>
      <c r="B501">
        <v>6</v>
      </c>
      <c r="C501" t="s">
        <v>21</v>
      </c>
      <c r="D501" t="s">
        <v>46</v>
      </c>
      <c r="E501">
        <v>145530</v>
      </c>
      <c r="F501" s="2" t="s">
        <v>1063</v>
      </c>
      <c r="G501" t="s">
        <v>24</v>
      </c>
      <c r="H501">
        <v>2</v>
      </c>
      <c r="I501" t="s">
        <v>25</v>
      </c>
      <c r="J501">
        <v>4</v>
      </c>
      <c r="K501" t="s">
        <v>52</v>
      </c>
      <c r="L501">
        <v>28</v>
      </c>
      <c r="M501" t="s">
        <v>27</v>
      </c>
      <c r="N501" t="s">
        <v>28</v>
      </c>
      <c r="O501">
        <v>2</v>
      </c>
      <c r="P501" t="s">
        <v>29</v>
      </c>
      <c r="Q501">
        <v>2</v>
      </c>
      <c r="R501" t="s">
        <v>30</v>
      </c>
      <c r="S501" t="s">
        <v>30</v>
      </c>
      <c r="T501" t="s">
        <v>31</v>
      </c>
    </row>
    <row r="502" spans="1:20" x14ac:dyDescent="0.35">
      <c r="A502" t="s">
        <v>560</v>
      </c>
      <c r="B502">
        <v>24</v>
      </c>
      <c r="C502" t="s">
        <v>33</v>
      </c>
      <c r="D502" t="s">
        <v>46</v>
      </c>
      <c r="E502">
        <v>343530</v>
      </c>
      <c r="F502" s="1" t="s">
        <v>1060</v>
      </c>
      <c r="G502" t="s">
        <v>59</v>
      </c>
      <c r="H502">
        <v>4</v>
      </c>
      <c r="I502" t="s">
        <v>35</v>
      </c>
      <c r="J502">
        <v>1</v>
      </c>
      <c r="K502" t="s">
        <v>42</v>
      </c>
      <c r="L502">
        <v>27</v>
      </c>
      <c r="M502" t="s">
        <v>27</v>
      </c>
      <c r="N502" t="s">
        <v>28</v>
      </c>
      <c r="O502">
        <v>1</v>
      </c>
      <c r="P502" t="s">
        <v>29</v>
      </c>
      <c r="Q502">
        <v>1</v>
      </c>
      <c r="R502" t="s">
        <v>27</v>
      </c>
      <c r="S502" t="s">
        <v>30</v>
      </c>
      <c r="T502" t="s">
        <v>31</v>
      </c>
    </row>
    <row r="503" spans="1:20" x14ac:dyDescent="0.35">
      <c r="A503" t="s">
        <v>561</v>
      </c>
      <c r="B503">
        <v>36</v>
      </c>
      <c r="C503" t="s">
        <v>33</v>
      </c>
      <c r="D503" t="s">
        <v>51</v>
      </c>
      <c r="E503">
        <v>604230</v>
      </c>
      <c r="F503" s="2" t="s">
        <v>1060</v>
      </c>
      <c r="G503" t="s">
        <v>24</v>
      </c>
      <c r="H503">
        <v>2</v>
      </c>
      <c r="I503" t="s">
        <v>25</v>
      </c>
      <c r="J503">
        <v>4</v>
      </c>
      <c r="K503" t="s">
        <v>47</v>
      </c>
      <c r="L503">
        <v>42</v>
      </c>
      <c r="M503" t="s">
        <v>27</v>
      </c>
      <c r="N503" t="s">
        <v>43</v>
      </c>
      <c r="O503">
        <v>1</v>
      </c>
      <c r="P503" t="s">
        <v>29</v>
      </c>
      <c r="Q503">
        <v>2</v>
      </c>
      <c r="R503" t="s">
        <v>27</v>
      </c>
      <c r="S503" t="s">
        <v>30</v>
      </c>
      <c r="T503" t="s">
        <v>31</v>
      </c>
    </row>
    <row r="504" spans="1:20" x14ac:dyDescent="0.35">
      <c r="A504" t="s">
        <v>562</v>
      </c>
      <c r="B504">
        <v>9</v>
      </c>
      <c r="C504" t="s">
        <v>33</v>
      </c>
      <c r="D504" t="s">
        <v>22</v>
      </c>
      <c r="E504">
        <v>123860</v>
      </c>
      <c r="F504" s="1" t="s">
        <v>1063</v>
      </c>
      <c r="G504" t="s">
        <v>24</v>
      </c>
      <c r="H504">
        <v>2</v>
      </c>
      <c r="I504" t="s">
        <v>25</v>
      </c>
      <c r="J504">
        <v>4</v>
      </c>
      <c r="K504" t="s">
        <v>26</v>
      </c>
      <c r="L504">
        <v>49</v>
      </c>
      <c r="M504" t="s">
        <v>27</v>
      </c>
      <c r="N504" t="s">
        <v>28</v>
      </c>
      <c r="O504">
        <v>1</v>
      </c>
      <c r="P504" t="s">
        <v>29</v>
      </c>
      <c r="Q504">
        <v>1</v>
      </c>
      <c r="R504" t="s">
        <v>27</v>
      </c>
      <c r="S504" t="s">
        <v>30</v>
      </c>
      <c r="T504" t="s">
        <v>31</v>
      </c>
    </row>
    <row r="505" spans="1:20" x14ac:dyDescent="0.35">
      <c r="A505" t="s">
        <v>563</v>
      </c>
      <c r="B505">
        <v>24</v>
      </c>
      <c r="C505" t="s">
        <v>21</v>
      </c>
      <c r="D505" t="s">
        <v>22</v>
      </c>
      <c r="E505">
        <v>133760</v>
      </c>
      <c r="F505" s="2" t="s">
        <v>1063</v>
      </c>
      <c r="G505" t="s">
        <v>59</v>
      </c>
      <c r="H505">
        <v>4</v>
      </c>
      <c r="I505" t="s">
        <v>25</v>
      </c>
      <c r="J505">
        <v>4</v>
      </c>
      <c r="K505" t="s">
        <v>47</v>
      </c>
      <c r="L505">
        <v>38</v>
      </c>
      <c r="M505" t="s">
        <v>69</v>
      </c>
      <c r="N505" t="s">
        <v>28</v>
      </c>
      <c r="O505">
        <v>2</v>
      </c>
      <c r="P505" t="s">
        <v>29</v>
      </c>
      <c r="Q505">
        <v>2</v>
      </c>
      <c r="R505" t="s">
        <v>27</v>
      </c>
      <c r="S505" t="s">
        <v>30</v>
      </c>
      <c r="T505" t="s">
        <v>31</v>
      </c>
    </row>
    <row r="506" spans="1:20" x14ac:dyDescent="0.35">
      <c r="A506" t="s">
        <v>564</v>
      </c>
      <c r="B506">
        <v>24</v>
      </c>
      <c r="C506" t="s">
        <v>33</v>
      </c>
      <c r="D506" t="s">
        <v>46</v>
      </c>
      <c r="E506">
        <v>132770</v>
      </c>
      <c r="F506" s="1" t="s">
        <v>1060</v>
      </c>
      <c r="G506" t="s">
        <v>59</v>
      </c>
      <c r="H506">
        <v>4</v>
      </c>
      <c r="I506" t="s">
        <v>35</v>
      </c>
      <c r="J506">
        <v>4</v>
      </c>
      <c r="K506" t="s">
        <v>42</v>
      </c>
      <c r="L506">
        <v>24</v>
      </c>
      <c r="M506" t="s">
        <v>27</v>
      </c>
      <c r="N506" t="s">
        <v>53</v>
      </c>
      <c r="O506">
        <v>1</v>
      </c>
      <c r="P506" t="s">
        <v>29</v>
      </c>
      <c r="Q506">
        <v>1</v>
      </c>
      <c r="R506" t="s">
        <v>27</v>
      </c>
      <c r="S506" t="s">
        <v>30</v>
      </c>
      <c r="T506" t="s">
        <v>31</v>
      </c>
    </row>
    <row r="507" spans="1:20" x14ac:dyDescent="0.35">
      <c r="A507" t="s">
        <v>565</v>
      </c>
      <c r="B507">
        <v>10</v>
      </c>
      <c r="C507" t="s">
        <v>33</v>
      </c>
      <c r="D507" t="s">
        <v>46</v>
      </c>
      <c r="E507">
        <v>143990</v>
      </c>
      <c r="F507" s="2" t="s">
        <v>23</v>
      </c>
      <c r="G507" t="s">
        <v>34</v>
      </c>
      <c r="H507">
        <v>4</v>
      </c>
      <c r="I507" t="s">
        <v>25</v>
      </c>
      <c r="J507">
        <v>4</v>
      </c>
      <c r="K507" t="s">
        <v>42</v>
      </c>
      <c r="L507">
        <v>27</v>
      </c>
      <c r="M507" t="s">
        <v>27</v>
      </c>
      <c r="N507" t="s">
        <v>28</v>
      </c>
      <c r="O507">
        <v>1</v>
      </c>
      <c r="P507" t="s">
        <v>39</v>
      </c>
      <c r="Q507">
        <v>1</v>
      </c>
      <c r="R507" t="s">
        <v>27</v>
      </c>
      <c r="S507" t="s">
        <v>30</v>
      </c>
      <c r="T507" t="s">
        <v>31</v>
      </c>
    </row>
    <row r="508" spans="1:20" x14ac:dyDescent="0.35">
      <c r="A508" t="s">
        <v>566</v>
      </c>
      <c r="B508">
        <v>15</v>
      </c>
      <c r="C508" t="s">
        <v>21</v>
      </c>
      <c r="D508" t="s">
        <v>51</v>
      </c>
      <c r="E508">
        <v>259600</v>
      </c>
      <c r="F508" s="1" t="s">
        <v>1061</v>
      </c>
      <c r="G508" t="s">
        <v>34</v>
      </c>
      <c r="H508">
        <v>2</v>
      </c>
      <c r="I508" t="s">
        <v>25</v>
      </c>
      <c r="J508">
        <v>2</v>
      </c>
      <c r="K508" t="s">
        <v>52</v>
      </c>
      <c r="L508">
        <v>36</v>
      </c>
      <c r="M508" t="s">
        <v>27</v>
      </c>
      <c r="N508" t="s">
        <v>28</v>
      </c>
      <c r="O508">
        <v>1</v>
      </c>
      <c r="P508" t="s">
        <v>29</v>
      </c>
      <c r="Q508">
        <v>1</v>
      </c>
      <c r="R508" t="s">
        <v>30</v>
      </c>
      <c r="S508" t="s">
        <v>30</v>
      </c>
      <c r="T508" t="s">
        <v>31</v>
      </c>
    </row>
    <row r="509" spans="1:20" x14ac:dyDescent="0.35">
      <c r="A509" t="s">
        <v>567</v>
      </c>
      <c r="B509">
        <v>15</v>
      </c>
      <c r="C509" t="s">
        <v>81</v>
      </c>
      <c r="D509" t="s">
        <v>46</v>
      </c>
      <c r="E509">
        <v>753500</v>
      </c>
      <c r="F509" s="2" t="s">
        <v>1063</v>
      </c>
      <c r="G509" t="s">
        <v>57</v>
      </c>
      <c r="H509">
        <v>1</v>
      </c>
      <c r="I509" t="s">
        <v>25</v>
      </c>
      <c r="J509">
        <v>2</v>
      </c>
      <c r="K509" t="s">
        <v>42</v>
      </c>
      <c r="L509">
        <v>34</v>
      </c>
      <c r="M509" t="s">
        <v>27</v>
      </c>
      <c r="N509" t="s">
        <v>28</v>
      </c>
      <c r="O509">
        <v>1</v>
      </c>
      <c r="P509" t="s">
        <v>54</v>
      </c>
      <c r="Q509">
        <v>2</v>
      </c>
      <c r="R509" t="s">
        <v>30</v>
      </c>
      <c r="S509" t="s">
        <v>30</v>
      </c>
      <c r="T509" t="s">
        <v>31</v>
      </c>
    </row>
    <row r="510" spans="1:20" x14ac:dyDescent="0.35">
      <c r="A510" t="s">
        <v>568</v>
      </c>
      <c r="B510">
        <v>24</v>
      </c>
      <c r="C510" t="s">
        <v>33</v>
      </c>
      <c r="D510" t="s">
        <v>22</v>
      </c>
      <c r="E510">
        <v>155430</v>
      </c>
      <c r="F510" s="1" t="s">
        <v>1060</v>
      </c>
      <c r="G510" t="s">
        <v>34</v>
      </c>
      <c r="H510">
        <v>4</v>
      </c>
      <c r="I510" t="s">
        <v>25</v>
      </c>
      <c r="J510">
        <v>2</v>
      </c>
      <c r="K510" t="s">
        <v>42</v>
      </c>
      <c r="L510">
        <v>28</v>
      </c>
      <c r="M510" t="s">
        <v>27</v>
      </c>
      <c r="N510" t="s">
        <v>28</v>
      </c>
      <c r="O510">
        <v>1</v>
      </c>
      <c r="P510" t="s">
        <v>29</v>
      </c>
      <c r="Q510">
        <v>1</v>
      </c>
      <c r="R510" t="s">
        <v>27</v>
      </c>
      <c r="S510" t="s">
        <v>30</v>
      </c>
      <c r="T510" t="s">
        <v>31</v>
      </c>
    </row>
    <row r="511" spans="1:20" x14ac:dyDescent="0.35">
      <c r="A511" t="s">
        <v>569</v>
      </c>
      <c r="B511">
        <v>39</v>
      </c>
      <c r="C511" t="s">
        <v>33</v>
      </c>
      <c r="D511" t="s">
        <v>51</v>
      </c>
      <c r="E511">
        <v>944680</v>
      </c>
      <c r="F511" s="2" t="s">
        <v>1063</v>
      </c>
      <c r="G511" t="s">
        <v>24</v>
      </c>
      <c r="H511">
        <v>4</v>
      </c>
      <c r="I511" t="s">
        <v>25</v>
      </c>
      <c r="J511">
        <v>2</v>
      </c>
      <c r="K511" t="s">
        <v>52</v>
      </c>
      <c r="L511">
        <v>45</v>
      </c>
      <c r="M511" t="s">
        <v>27</v>
      </c>
      <c r="N511" t="s">
        <v>28</v>
      </c>
      <c r="O511">
        <v>1</v>
      </c>
      <c r="P511" t="s">
        <v>54</v>
      </c>
      <c r="Q511">
        <v>1</v>
      </c>
      <c r="R511" t="s">
        <v>30</v>
      </c>
      <c r="S511" t="s">
        <v>30</v>
      </c>
      <c r="T511" t="s">
        <v>31</v>
      </c>
    </row>
    <row r="512" spans="1:20" x14ac:dyDescent="0.35">
      <c r="A512" t="s">
        <v>570</v>
      </c>
      <c r="B512">
        <v>12</v>
      </c>
      <c r="C512" t="s">
        <v>33</v>
      </c>
      <c r="D512" t="s">
        <v>46</v>
      </c>
      <c r="E512">
        <v>83490</v>
      </c>
      <c r="F512" s="1" t="s">
        <v>1060</v>
      </c>
      <c r="G512" t="s">
        <v>38</v>
      </c>
      <c r="H512">
        <v>4</v>
      </c>
      <c r="I512" t="s">
        <v>25</v>
      </c>
      <c r="J512">
        <v>2</v>
      </c>
      <c r="K512" t="s">
        <v>26</v>
      </c>
      <c r="L512">
        <v>26</v>
      </c>
      <c r="M512" t="s">
        <v>27</v>
      </c>
      <c r="N512" t="s">
        <v>28</v>
      </c>
      <c r="O512">
        <v>1</v>
      </c>
      <c r="P512" t="s">
        <v>29</v>
      </c>
      <c r="Q512">
        <v>1</v>
      </c>
      <c r="R512" t="s">
        <v>27</v>
      </c>
      <c r="S512" t="s">
        <v>30</v>
      </c>
      <c r="T512" t="s">
        <v>31</v>
      </c>
    </row>
    <row r="513" spans="1:20" x14ac:dyDescent="0.35">
      <c r="A513" t="s">
        <v>571</v>
      </c>
      <c r="B513">
        <v>36</v>
      </c>
      <c r="C513" t="s">
        <v>33</v>
      </c>
      <c r="D513" t="s">
        <v>51</v>
      </c>
      <c r="E513">
        <v>515460</v>
      </c>
      <c r="F513" s="2" t="s">
        <v>1060</v>
      </c>
      <c r="G513" t="s">
        <v>34</v>
      </c>
      <c r="H513">
        <v>2</v>
      </c>
      <c r="I513" t="s">
        <v>25</v>
      </c>
      <c r="J513">
        <v>2</v>
      </c>
      <c r="K513" t="s">
        <v>47</v>
      </c>
      <c r="L513">
        <v>32</v>
      </c>
      <c r="M513" t="s">
        <v>27</v>
      </c>
      <c r="N513" t="s">
        <v>43</v>
      </c>
      <c r="O513">
        <v>1</v>
      </c>
      <c r="P513" t="s">
        <v>54</v>
      </c>
      <c r="Q513">
        <v>1</v>
      </c>
      <c r="R513" t="s">
        <v>30</v>
      </c>
      <c r="S513" t="s">
        <v>30</v>
      </c>
      <c r="T513" t="s">
        <v>31</v>
      </c>
    </row>
    <row r="514" spans="1:20" x14ac:dyDescent="0.35">
      <c r="A514" t="s">
        <v>572</v>
      </c>
      <c r="B514">
        <v>15</v>
      </c>
      <c r="C514" t="s">
        <v>33</v>
      </c>
      <c r="D514" t="s">
        <v>61</v>
      </c>
      <c r="E514">
        <v>295570</v>
      </c>
      <c r="F514" s="1" t="s">
        <v>1060</v>
      </c>
      <c r="G514" t="s">
        <v>38</v>
      </c>
      <c r="H514">
        <v>2</v>
      </c>
      <c r="I514" t="s">
        <v>25</v>
      </c>
      <c r="J514">
        <v>4</v>
      </c>
      <c r="K514" t="s">
        <v>42</v>
      </c>
      <c r="L514">
        <v>26</v>
      </c>
      <c r="M514" t="s">
        <v>27</v>
      </c>
      <c r="N514" t="s">
        <v>53</v>
      </c>
      <c r="O514">
        <v>1</v>
      </c>
      <c r="P514" t="s">
        <v>29</v>
      </c>
      <c r="Q514">
        <v>1</v>
      </c>
      <c r="R514" t="s">
        <v>30</v>
      </c>
      <c r="S514" t="s">
        <v>30</v>
      </c>
      <c r="T514" t="s">
        <v>31</v>
      </c>
    </row>
    <row r="515" spans="1:20" x14ac:dyDescent="0.35">
      <c r="A515" t="s">
        <v>573</v>
      </c>
      <c r="B515">
        <v>12</v>
      </c>
      <c r="C515" t="s">
        <v>45</v>
      </c>
      <c r="D515" t="s">
        <v>22</v>
      </c>
      <c r="E515">
        <v>64350</v>
      </c>
      <c r="F515" s="2" t="s">
        <v>1060</v>
      </c>
      <c r="G515" t="s">
        <v>34</v>
      </c>
      <c r="H515">
        <v>4</v>
      </c>
      <c r="I515" t="s">
        <v>25</v>
      </c>
      <c r="J515">
        <v>4</v>
      </c>
      <c r="K515" t="s">
        <v>26</v>
      </c>
      <c r="L515">
        <v>20</v>
      </c>
      <c r="M515" t="s">
        <v>27</v>
      </c>
      <c r="N515" t="s">
        <v>53</v>
      </c>
      <c r="O515">
        <v>2</v>
      </c>
      <c r="P515" t="s">
        <v>29</v>
      </c>
      <c r="Q515">
        <v>1</v>
      </c>
      <c r="R515" t="s">
        <v>27</v>
      </c>
      <c r="S515" t="s">
        <v>30</v>
      </c>
      <c r="T515" t="s">
        <v>31</v>
      </c>
    </row>
    <row r="516" spans="1:20" x14ac:dyDescent="0.35">
      <c r="A516" t="s">
        <v>574</v>
      </c>
      <c r="B516">
        <v>24</v>
      </c>
      <c r="C516" t="s">
        <v>33</v>
      </c>
      <c r="D516" t="s">
        <v>46</v>
      </c>
      <c r="E516">
        <v>248050</v>
      </c>
      <c r="F516" s="1" t="s">
        <v>23</v>
      </c>
      <c r="G516" t="s">
        <v>59</v>
      </c>
      <c r="H516">
        <v>4</v>
      </c>
      <c r="I516" t="s">
        <v>25</v>
      </c>
      <c r="J516">
        <v>1</v>
      </c>
      <c r="K516" t="s">
        <v>42</v>
      </c>
      <c r="L516">
        <v>54</v>
      </c>
      <c r="M516" t="s">
        <v>27</v>
      </c>
      <c r="N516" t="s">
        <v>28</v>
      </c>
      <c r="O516">
        <v>1</v>
      </c>
      <c r="P516" t="s">
        <v>29</v>
      </c>
      <c r="Q516">
        <v>1</v>
      </c>
      <c r="R516" t="s">
        <v>27</v>
      </c>
      <c r="S516" t="s">
        <v>30</v>
      </c>
      <c r="T516" t="s">
        <v>31</v>
      </c>
    </row>
    <row r="517" spans="1:20" x14ac:dyDescent="0.35">
      <c r="A517" t="s">
        <v>575</v>
      </c>
      <c r="B517">
        <v>6</v>
      </c>
      <c r="C517" t="s">
        <v>21</v>
      </c>
      <c r="D517" t="s">
        <v>46</v>
      </c>
      <c r="E517">
        <v>66990</v>
      </c>
      <c r="F517" s="2" t="s">
        <v>1060</v>
      </c>
      <c r="G517" t="s">
        <v>38</v>
      </c>
      <c r="H517">
        <v>4</v>
      </c>
      <c r="I517" t="s">
        <v>35</v>
      </c>
      <c r="J517">
        <v>3</v>
      </c>
      <c r="K517" t="s">
        <v>42</v>
      </c>
      <c r="L517">
        <v>37</v>
      </c>
      <c r="M517" t="s">
        <v>27</v>
      </c>
      <c r="N517" t="s">
        <v>28</v>
      </c>
      <c r="O517">
        <v>2</v>
      </c>
      <c r="P517" t="s">
        <v>29</v>
      </c>
      <c r="Q517">
        <v>1</v>
      </c>
      <c r="R517" t="s">
        <v>27</v>
      </c>
      <c r="S517" t="s">
        <v>75</v>
      </c>
      <c r="T517" t="s">
        <v>31</v>
      </c>
    </row>
    <row r="518" spans="1:20" x14ac:dyDescent="0.35">
      <c r="A518" t="s">
        <v>576</v>
      </c>
      <c r="B518">
        <v>6</v>
      </c>
      <c r="C518" t="s">
        <v>21</v>
      </c>
      <c r="D518" t="s">
        <v>46</v>
      </c>
      <c r="E518">
        <v>149710</v>
      </c>
      <c r="F518" s="1" t="s">
        <v>1060</v>
      </c>
      <c r="G518" t="s">
        <v>59</v>
      </c>
      <c r="H518">
        <v>2</v>
      </c>
      <c r="I518" t="s">
        <v>25</v>
      </c>
      <c r="J518">
        <v>4</v>
      </c>
      <c r="K518" t="s">
        <v>26</v>
      </c>
      <c r="L518">
        <v>40</v>
      </c>
      <c r="M518" t="s">
        <v>27</v>
      </c>
      <c r="N518" t="s">
        <v>28</v>
      </c>
      <c r="O518">
        <v>1</v>
      </c>
      <c r="P518" t="s">
        <v>39</v>
      </c>
      <c r="Q518">
        <v>2</v>
      </c>
      <c r="R518" t="s">
        <v>27</v>
      </c>
      <c r="S518" t="s">
        <v>75</v>
      </c>
      <c r="T518" t="s">
        <v>31</v>
      </c>
    </row>
    <row r="519" spans="1:20" x14ac:dyDescent="0.35">
      <c r="A519" t="s">
        <v>577</v>
      </c>
      <c r="B519">
        <v>36</v>
      </c>
      <c r="C519" t="s">
        <v>21</v>
      </c>
      <c r="D519" t="s">
        <v>41</v>
      </c>
      <c r="E519">
        <v>783970</v>
      </c>
      <c r="F519" s="2" t="s">
        <v>1060</v>
      </c>
      <c r="G519" t="s">
        <v>59</v>
      </c>
      <c r="H519">
        <v>2</v>
      </c>
      <c r="I519" t="s">
        <v>35</v>
      </c>
      <c r="J519">
        <v>4</v>
      </c>
      <c r="K519" t="s">
        <v>42</v>
      </c>
      <c r="L519">
        <v>23</v>
      </c>
      <c r="M519" t="s">
        <v>27</v>
      </c>
      <c r="N519" t="s">
        <v>53</v>
      </c>
      <c r="O519">
        <v>2</v>
      </c>
      <c r="P519" t="s">
        <v>29</v>
      </c>
      <c r="Q519">
        <v>1</v>
      </c>
      <c r="R519" t="s">
        <v>30</v>
      </c>
      <c r="S519" t="s">
        <v>30</v>
      </c>
      <c r="T519" t="s">
        <v>31</v>
      </c>
    </row>
    <row r="520" spans="1:20" x14ac:dyDescent="0.35">
      <c r="A520" t="s">
        <v>578</v>
      </c>
      <c r="B520">
        <v>6</v>
      </c>
      <c r="C520" t="s">
        <v>33</v>
      </c>
      <c r="D520" t="s">
        <v>46</v>
      </c>
      <c r="E520">
        <v>132330</v>
      </c>
      <c r="F520" s="1" t="s">
        <v>1063</v>
      </c>
      <c r="G520" t="s">
        <v>24</v>
      </c>
      <c r="H520">
        <v>3</v>
      </c>
      <c r="I520" t="s">
        <v>25</v>
      </c>
      <c r="J520">
        <v>2</v>
      </c>
      <c r="K520" t="s">
        <v>42</v>
      </c>
      <c r="L520">
        <v>43</v>
      </c>
      <c r="M520" t="s">
        <v>27</v>
      </c>
      <c r="N520" t="s">
        <v>28</v>
      </c>
      <c r="O520">
        <v>1</v>
      </c>
      <c r="P520" t="s">
        <v>29</v>
      </c>
      <c r="Q520">
        <v>1</v>
      </c>
      <c r="R520" t="s">
        <v>30</v>
      </c>
      <c r="S520" t="s">
        <v>30</v>
      </c>
      <c r="T520" t="s">
        <v>31</v>
      </c>
    </row>
    <row r="521" spans="1:20" x14ac:dyDescent="0.35">
      <c r="A521" t="s">
        <v>579</v>
      </c>
      <c r="B521">
        <v>6</v>
      </c>
      <c r="C521" t="s">
        <v>21</v>
      </c>
      <c r="D521" t="s">
        <v>22</v>
      </c>
      <c r="E521">
        <v>77000</v>
      </c>
      <c r="F521" s="2" t="s">
        <v>23</v>
      </c>
      <c r="G521" t="s">
        <v>24</v>
      </c>
      <c r="H521">
        <v>4</v>
      </c>
      <c r="I521" t="s">
        <v>25</v>
      </c>
      <c r="J521">
        <v>4</v>
      </c>
      <c r="K521" t="s">
        <v>47</v>
      </c>
      <c r="L521">
        <v>36</v>
      </c>
      <c r="M521" t="s">
        <v>27</v>
      </c>
      <c r="N521" t="s">
        <v>43</v>
      </c>
      <c r="O521">
        <v>2</v>
      </c>
      <c r="P521" t="s">
        <v>29</v>
      </c>
      <c r="Q521">
        <v>1</v>
      </c>
      <c r="R521" t="s">
        <v>27</v>
      </c>
      <c r="S521" t="s">
        <v>30</v>
      </c>
      <c r="T521" t="s">
        <v>31</v>
      </c>
    </row>
    <row r="522" spans="1:20" x14ac:dyDescent="0.35">
      <c r="A522" t="s">
        <v>580</v>
      </c>
      <c r="B522">
        <v>24</v>
      </c>
      <c r="C522" t="s">
        <v>21</v>
      </c>
      <c r="D522" t="s">
        <v>99</v>
      </c>
      <c r="E522">
        <v>605770</v>
      </c>
      <c r="F522" s="1" t="s">
        <v>1060</v>
      </c>
      <c r="G522" t="s">
        <v>24</v>
      </c>
      <c r="H522">
        <v>3</v>
      </c>
      <c r="I522" t="s">
        <v>25</v>
      </c>
      <c r="J522">
        <v>4</v>
      </c>
      <c r="K522" t="s">
        <v>47</v>
      </c>
      <c r="L522">
        <v>44</v>
      </c>
      <c r="M522" t="s">
        <v>27</v>
      </c>
      <c r="N522" t="s">
        <v>43</v>
      </c>
      <c r="O522">
        <v>2</v>
      </c>
      <c r="P522" t="s">
        <v>29</v>
      </c>
      <c r="Q522">
        <v>1</v>
      </c>
      <c r="R522" t="s">
        <v>27</v>
      </c>
      <c r="S522" t="s">
        <v>30</v>
      </c>
      <c r="T522" t="s">
        <v>31</v>
      </c>
    </row>
    <row r="523" spans="1:20" x14ac:dyDescent="0.35">
      <c r="A523" t="s">
        <v>581</v>
      </c>
      <c r="B523">
        <v>18</v>
      </c>
      <c r="C523" t="s">
        <v>33</v>
      </c>
      <c r="D523" t="s">
        <v>22</v>
      </c>
      <c r="E523">
        <v>350900</v>
      </c>
      <c r="F523" s="2" t="s">
        <v>1060</v>
      </c>
      <c r="G523" t="s">
        <v>34</v>
      </c>
      <c r="H523">
        <v>2</v>
      </c>
      <c r="I523" t="s">
        <v>35</v>
      </c>
      <c r="J523">
        <v>2</v>
      </c>
      <c r="K523" t="s">
        <v>26</v>
      </c>
      <c r="L523">
        <v>24</v>
      </c>
      <c r="M523" t="s">
        <v>27</v>
      </c>
      <c r="N523" t="s">
        <v>28</v>
      </c>
      <c r="O523">
        <v>1</v>
      </c>
      <c r="P523" t="s">
        <v>29</v>
      </c>
      <c r="Q523">
        <v>1</v>
      </c>
      <c r="R523" t="s">
        <v>27</v>
      </c>
      <c r="S523" t="s">
        <v>30</v>
      </c>
      <c r="T523" t="s">
        <v>31</v>
      </c>
    </row>
    <row r="524" spans="1:20" x14ac:dyDescent="0.35">
      <c r="A524" t="s">
        <v>582</v>
      </c>
      <c r="B524">
        <v>48</v>
      </c>
      <c r="C524" t="s">
        <v>68</v>
      </c>
      <c r="D524" t="s">
        <v>41</v>
      </c>
      <c r="E524">
        <v>783090</v>
      </c>
      <c r="F524" s="1" t="s">
        <v>1060</v>
      </c>
      <c r="G524" t="s">
        <v>34</v>
      </c>
      <c r="H524">
        <v>3</v>
      </c>
      <c r="I524" t="s">
        <v>25</v>
      </c>
      <c r="J524">
        <v>4</v>
      </c>
      <c r="K524" t="s">
        <v>47</v>
      </c>
      <c r="L524">
        <v>53</v>
      </c>
      <c r="M524" t="s">
        <v>27</v>
      </c>
      <c r="N524" t="s">
        <v>43</v>
      </c>
      <c r="O524">
        <v>2</v>
      </c>
      <c r="P524" t="s">
        <v>29</v>
      </c>
      <c r="Q524">
        <v>2</v>
      </c>
      <c r="R524" t="s">
        <v>27</v>
      </c>
      <c r="S524" t="s">
        <v>30</v>
      </c>
      <c r="T524" t="s">
        <v>31</v>
      </c>
    </row>
    <row r="525" spans="1:20" x14ac:dyDescent="0.35">
      <c r="A525" t="s">
        <v>583</v>
      </c>
      <c r="B525">
        <v>24</v>
      </c>
      <c r="C525" t="s">
        <v>33</v>
      </c>
      <c r="D525" t="s">
        <v>51</v>
      </c>
      <c r="E525">
        <v>383680</v>
      </c>
      <c r="F525" s="2" t="s">
        <v>1063</v>
      </c>
      <c r="G525" t="s">
        <v>38</v>
      </c>
      <c r="H525">
        <v>3</v>
      </c>
      <c r="I525" t="s">
        <v>35</v>
      </c>
      <c r="J525">
        <v>4</v>
      </c>
      <c r="K525" t="s">
        <v>52</v>
      </c>
      <c r="L525">
        <v>23</v>
      </c>
      <c r="M525" t="s">
        <v>27</v>
      </c>
      <c r="N525" t="s">
        <v>28</v>
      </c>
      <c r="O525">
        <v>1</v>
      </c>
      <c r="P525" t="s">
        <v>29</v>
      </c>
      <c r="Q525">
        <v>1</v>
      </c>
      <c r="R525" t="s">
        <v>27</v>
      </c>
      <c r="S525" t="s">
        <v>30</v>
      </c>
      <c r="T525" t="s">
        <v>31</v>
      </c>
    </row>
    <row r="526" spans="1:20" x14ac:dyDescent="0.35">
      <c r="A526" t="s">
        <v>584</v>
      </c>
      <c r="B526">
        <v>18</v>
      </c>
      <c r="C526" t="s">
        <v>33</v>
      </c>
      <c r="D526" t="s">
        <v>22</v>
      </c>
      <c r="E526">
        <v>122430</v>
      </c>
      <c r="F526" s="1" t="s">
        <v>1060</v>
      </c>
      <c r="G526" t="s">
        <v>34</v>
      </c>
      <c r="H526">
        <v>4</v>
      </c>
      <c r="I526" t="s">
        <v>35</v>
      </c>
      <c r="J526">
        <v>4</v>
      </c>
      <c r="K526" t="s">
        <v>26</v>
      </c>
      <c r="L526">
        <v>26</v>
      </c>
      <c r="M526" t="s">
        <v>27</v>
      </c>
      <c r="N526" t="s">
        <v>28</v>
      </c>
      <c r="O526">
        <v>1</v>
      </c>
      <c r="P526" t="s">
        <v>39</v>
      </c>
      <c r="Q526">
        <v>2</v>
      </c>
      <c r="R526" t="s">
        <v>27</v>
      </c>
      <c r="S526" t="s">
        <v>30</v>
      </c>
      <c r="T526" t="s">
        <v>31</v>
      </c>
    </row>
    <row r="527" spans="1:20" x14ac:dyDescent="0.35">
      <c r="A527" t="s">
        <v>585</v>
      </c>
      <c r="B527">
        <v>26</v>
      </c>
      <c r="C527" t="s">
        <v>33</v>
      </c>
      <c r="D527" t="s">
        <v>51</v>
      </c>
      <c r="E527">
        <v>876260</v>
      </c>
      <c r="F527" s="2" t="s">
        <v>1060</v>
      </c>
      <c r="G527" t="s">
        <v>59</v>
      </c>
      <c r="H527">
        <v>2</v>
      </c>
      <c r="I527" t="s">
        <v>25</v>
      </c>
      <c r="J527">
        <v>3</v>
      </c>
      <c r="K527" t="s">
        <v>52</v>
      </c>
      <c r="L527">
        <v>30</v>
      </c>
      <c r="M527" t="s">
        <v>27</v>
      </c>
      <c r="N527" t="s">
        <v>28</v>
      </c>
      <c r="O527">
        <v>2</v>
      </c>
      <c r="P527" t="s">
        <v>29</v>
      </c>
      <c r="Q527">
        <v>1</v>
      </c>
      <c r="R527" t="s">
        <v>27</v>
      </c>
      <c r="S527" t="s">
        <v>30</v>
      </c>
      <c r="T527" t="s">
        <v>31</v>
      </c>
    </row>
    <row r="528" spans="1:20" x14ac:dyDescent="0.35">
      <c r="A528" t="s">
        <v>586</v>
      </c>
      <c r="B528">
        <v>15</v>
      </c>
      <c r="C528" t="s">
        <v>21</v>
      </c>
      <c r="D528" t="s">
        <v>37</v>
      </c>
      <c r="E528">
        <v>168520</v>
      </c>
      <c r="F528" s="1" t="s">
        <v>1063</v>
      </c>
      <c r="G528" t="s">
        <v>34</v>
      </c>
      <c r="H528">
        <v>4</v>
      </c>
      <c r="I528" t="s">
        <v>35</v>
      </c>
      <c r="J528">
        <v>3</v>
      </c>
      <c r="K528" t="s">
        <v>52</v>
      </c>
      <c r="L528">
        <v>31</v>
      </c>
      <c r="M528" t="s">
        <v>27</v>
      </c>
      <c r="N528" t="s">
        <v>28</v>
      </c>
      <c r="O528">
        <v>1</v>
      </c>
      <c r="P528" t="s">
        <v>29</v>
      </c>
      <c r="Q528">
        <v>1</v>
      </c>
      <c r="R528" t="s">
        <v>27</v>
      </c>
      <c r="S528" t="s">
        <v>30</v>
      </c>
      <c r="T528" t="s">
        <v>31</v>
      </c>
    </row>
    <row r="529" spans="1:20" x14ac:dyDescent="0.35">
      <c r="A529" t="s">
        <v>587</v>
      </c>
      <c r="B529">
        <v>4</v>
      </c>
      <c r="C529" t="s">
        <v>21</v>
      </c>
      <c r="D529" t="s">
        <v>22</v>
      </c>
      <c r="E529">
        <v>165330</v>
      </c>
      <c r="F529" s="2" t="s">
        <v>1060</v>
      </c>
      <c r="G529" t="s">
        <v>38</v>
      </c>
      <c r="H529">
        <v>2</v>
      </c>
      <c r="I529" t="s">
        <v>25</v>
      </c>
      <c r="J529">
        <v>1</v>
      </c>
      <c r="K529" t="s">
        <v>26</v>
      </c>
      <c r="L529">
        <v>42</v>
      </c>
      <c r="M529" t="s">
        <v>27</v>
      </c>
      <c r="N529" t="s">
        <v>28</v>
      </c>
      <c r="O529">
        <v>2</v>
      </c>
      <c r="P529" t="s">
        <v>39</v>
      </c>
      <c r="Q529">
        <v>2</v>
      </c>
      <c r="R529" t="s">
        <v>27</v>
      </c>
      <c r="S529" t="s">
        <v>30</v>
      </c>
      <c r="T529" t="s">
        <v>31</v>
      </c>
    </row>
    <row r="530" spans="1:20" x14ac:dyDescent="0.35">
      <c r="A530" t="s">
        <v>588</v>
      </c>
      <c r="B530">
        <v>36</v>
      </c>
      <c r="C530" t="s">
        <v>33</v>
      </c>
      <c r="D530" t="s">
        <v>22</v>
      </c>
      <c r="E530">
        <v>253220</v>
      </c>
      <c r="F530" s="1" t="s">
        <v>1060</v>
      </c>
      <c r="G530" t="s">
        <v>34</v>
      </c>
      <c r="H530">
        <v>4</v>
      </c>
      <c r="I530" t="s">
        <v>25</v>
      </c>
      <c r="J530">
        <v>4</v>
      </c>
      <c r="K530" t="s">
        <v>52</v>
      </c>
      <c r="L530">
        <v>31</v>
      </c>
      <c r="M530" t="s">
        <v>27</v>
      </c>
      <c r="N530" t="s">
        <v>53</v>
      </c>
      <c r="O530">
        <v>1</v>
      </c>
      <c r="P530" t="s">
        <v>29</v>
      </c>
      <c r="Q530">
        <v>1</v>
      </c>
      <c r="R530" t="s">
        <v>27</v>
      </c>
      <c r="S530" t="s">
        <v>30</v>
      </c>
      <c r="T530" t="s">
        <v>31</v>
      </c>
    </row>
    <row r="531" spans="1:20" x14ac:dyDescent="0.35">
      <c r="A531" t="s">
        <v>589</v>
      </c>
      <c r="B531">
        <v>6</v>
      </c>
      <c r="C531" t="s">
        <v>33</v>
      </c>
      <c r="D531" t="s">
        <v>46</v>
      </c>
      <c r="E531">
        <v>72820</v>
      </c>
      <c r="F531" s="2" t="s">
        <v>1060</v>
      </c>
      <c r="G531" t="s">
        <v>59</v>
      </c>
      <c r="H531">
        <v>3</v>
      </c>
      <c r="I531" t="s">
        <v>25</v>
      </c>
      <c r="J531">
        <v>4</v>
      </c>
      <c r="K531" t="s">
        <v>26</v>
      </c>
      <c r="L531">
        <v>41</v>
      </c>
      <c r="M531" t="s">
        <v>27</v>
      </c>
      <c r="N531" t="s">
        <v>28</v>
      </c>
      <c r="O531">
        <v>1</v>
      </c>
      <c r="P531" t="s">
        <v>39</v>
      </c>
      <c r="Q531">
        <v>2</v>
      </c>
      <c r="R531" t="s">
        <v>30</v>
      </c>
      <c r="S531" t="s">
        <v>30</v>
      </c>
      <c r="T531" t="s">
        <v>31</v>
      </c>
    </row>
    <row r="532" spans="1:20" x14ac:dyDescent="0.35">
      <c r="A532" t="s">
        <v>590</v>
      </c>
      <c r="B532">
        <v>36</v>
      </c>
      <c r="C532" t="s">
        <v>33</v>
      </c>
      <c r="D532" t="s">
        <v>37</v>
      </c>
      <c r="E532">
        <v>250030</v>
      </c>
      <c r="F532" s="1" t="s">
        <v>1060</v>
      </c>
      <c r="G532" t="s">
        <v>38</v>
      </c>
      <c r="H532">
        <v>3</v>
      </c>
      <c r="I532" t="s">
        <v>25</v>
      </c>
      <c r="J532">
        <v>1</v>
      </c>
      <c r="K532" t="s">
        <v>52</v>
      </c>
      <c r="L532">
        <v>32</v>
      </c>
      <c r="M532" t="s">
        <v>27</v>
      </c>
      <c r="N532" t="s">
        <v>28</v>
      </c>
      <c r="O532">
        <v>2</v>
      </c>
      <c r="P532" t="s">
        <v>29</v>
      </c>
      <c r="Q532">
        <v>2</v>
      </c>
      <c r="R532" t="s">
        <v>27</v>
      </c>
      <c r="S532" t="s">
        <v>30</v>
      </c>
      <c r="T532" t="s">
        <v>31</v>
      </c>
    </row>
    <row r="533" spans="1:20" x14ac:dyDescent="0.35">
      <c r="A533" t="s">
        <v>591</v>
      </c>
      <c r="B533">
        <v>15</v>
      </c>
      <c r="C533" t="s">
        <v>33</v>
      </c>
      <c r="D533" t="s">
        <v>46</v>
      </c>
      <c r="E533">
        <v>289410</v>
      </c>
      <c r="F533" s="2" t="s">
        <v>1063</v>
      </c>
      <c r="G533" t="s">
        <v>34</v>
      </c>
      <c r="H533">
        <v>2</v>
      </c>
      <c r="I533" t="s">
        <v>35</v>
      </c>
      <c r="J533">
        <v>4</v>
      </c>
      <c r="K533" t="s">
        <v>52</v>
      </c>
      <c r="L533">
        <v>28</v>
      </c>
      <c r="M533" t="s">
        <v>27</v>
      </c>
      <c r="N533" t="s">
        <v>53</v>
      </c>
      <c r="O533">
        <v>2</v>
      </c>
      <c r="P533" t="s">
        <v>29</v>
      </c>
      <c r="Q533">
        <v>1</v>
      </c>
      <c r="R533" t="s">
        <v>30</v>
      </c>
      <c r="S533" t="s">
        <v>30</v>
      </c>
      <c r="T533" t="s">
        <v>31</v>
      </c>
    </row>
    <row r="534" spans="1:20" x14ac:dyDescent="0.35">
      <c r="A534" t="s">
        <v>592</v>
      </c>
      <c r="B534">
        <v>12</v>
      </c>
      <c r="C534" t="s">
        <v>45</v>
      </c>
      <c r="D534" t="s">
        <v>51</v>
      </c>
      <c r="E534">
        <v>165330</v>
      </c>
      <c r="F534" s="1" t="s">
        <v>1060</v>
      </c>
      <c r="G534" t="s">
        <v>34</v>
      </c>
      <c r="H534">
        <v>4</v>
      </c>
      <c r="I534" t="s">
        <v>25</v>
      </c>
      <c r="J534">
        <v>4</v>
      </c>
      <c r="K534" t="s">
        <v>26</v>
      </c>
      <c r="L534">
        <v>41</v>
      </c>
      <c r="M534" t="s">
        <v>27</v>
      </c>
      <c r="N534" t="s">
        <v>53</v>
      </c>
      <c r="O534">
        <v>1</v>
      </c>
      <c r="P534" t="s">
        <v>29</v>
      </c>
      <c r="Q534">
        <v>1</v>
      </c>
      <c r="R534" t="s">
        <v>27</v>
      </c>
      <c r="S534" t="s">
        <v>30</v>
      </c>
      <c r="T534" t="s">
        <v>31</v>
      </c>
    </row>
    <row r="535" spans="1:20" x14ac:dyDescent="0.35">
      <c r="A535" t="s">
        <v>593</v>
      </c>
      <c r="B535">
        <v>24</v>
      </c>
      <c r="C535" t="s">
        <v>33</v>
      </c>
      <c r="D535" t="s">
        <v>22</v>
      </c>
      <c r="E535">
        <v>144210</v>
      </c>
      <c r="F535" s="2" t="s">
        <v>1063</v>
      </c>
      <c r="G535" t="s">
        <v>38</v>
      </c>
      <c r="H535">
        <v>4</v>
      </c>
      <c r="I535" t="s">
        <v>25</v>
      </c>
      <c r="J535">
        <v>3</v>
      </c>
      <c r="K535" t="s">
        <v>42</v>
      </c>
      <c r="L535">
        <v>26</v>
      </c>
      <c r="M535" t="s">
        <v>27</v>
      </c>
      <c r="N535" t="s">
        <v>28</v>
      </c>
      <c r="O535">
        <v>1</v>
      </c>
      <c r="P535" t="s">
        <v>29</v>
      </c>
      <c r="Q535">
        <v>1</v>
      </c>
      <c r="R535" t="s">
        <v>30</v>
      </c>
      <c r="S535" t="s">
        <v>30</v>
      </c>
      <c r="T535" t="s">
        <v>31</v>
      </c>
    </row>
    <row r="536" spans="1:20" x14ac:dyDescent="0.35">
      <c r="A536" t="s">
        <v>594</v>
      </c>
      <c r="B536">
        <v>24</v>
      </c>
      <c r="C536" t="s">
        <v>33</v>
      </c>
      <c r="D536" t="s">
        <v>22</v>
      </c>
      <c r="E536">
        <v>341550</v>
      </c>
      <c r="F536" s="1" t="s">
        <v>23</v>
      </c>
      <c r="G536" t="s">
        <v>59</v>
      </c>
      <c r="H536">
        <v>4</v>
      </c>
      <c r="I536" t="s">
        <v>25</v>
      </c>
      <c r="J536">
        <v>2</v>
      </c>
      <c r="K536" t="s">
        <v>52</v>
      </c>
      <c r="L536">
        <v>25</v>
      </c>
      <c r="M536" t="s">
        <v>27</v>
      </c>
      <c r="N536" t="s">
        <v>28</v>
      </c>
      <c r="O536">
        <v>2</v>
      </c>
      <c r="P536" t="s">
        <v>29</v>
      </c>
      <c r="Q536">
        <v>1</v>
      </c>
      <c r="R536" t="s">
        <v>27</v>
      </c>
      <c r="S536" t="s">
        <v>30</v>
      </c>
      <c r="T536" t="s">
        <v>31</v>
      </c>
    </row>
    <row r="537" spans="1:20" x14ac:dyDescent="0.35">
      <c r="A537" t="s">
        <v>595</v>
      </c>
      <c r="B537">
        <v>21</v>
      </c>
      <c r="C537" t="s">
        <v>21</v>
      </c>
      <c r="D537" t="s">
        <v>37</v>
      </c>
      <c r="E537">
        <v>255090</v>
      </c>
      <c r="F537" s="2" t="s">
        <v>1060</v>
      </c>
      <c r="G537" t="s">
        <v>59</v>
      </c>
      <c r="H537">
        <v>2</v>
      </c>
      <c r="I537" t="s">
        <v>25</v>
      </c>
      <c r="J537">
        <v>1</v>
      </c>
      <c r="K537" t="s">
        <v>52</v>
      </c>
      <c r="L537">
        <v>33</v>
      </c>
      <c r="M537" t="s">
        <v>27</v>
      </c>
      <c r="N537" t="s">
        <v>53</v>
      </c>
      <c r="O537">
        <v>1</v>
      </c>
      <c r="P537" t="s">
        <v>29</v>
      </c>
      <c r="Q537">
        <v>1</v>
      </c>
      <c r="R537" t="s">
        <v>27</v>
      </c>
      <c r="S537" t="s">
        <v>30</v>
      </c>
      <c r="T537" t="s">
        <v>31</v>
      </c>
    </row>
    <row r="538" spans="1:20" x14ac:dyDescent="0.35">
      <c r="A538" t="s">
        <v>596</v>
      </c>
      <c r="B538">
        <v>6</v>
      </c>
      <c r="C538" t="s">
        <v>33</v>
      </c>
      <c r="D538" t="s">
        <v>46</v>
      </c>
      <c r="E538">
        <v>151140</v>
      </c>
      <c r="F538" s="1" t="s">
        <v>23</v>
      </c>
      <c r="G538" t="s">
        <v>57</v>
      </c>
      <c r="H538">
        <v>4</v>
      </c>
      <c r="I538" t="s">
        <v>35</v>
      </c>
      <c r="J538">
        <v>3</v>
      </c>
      <c r="K538" t="s">
        <v>42</v>
      </c>
      <c r="L538">
        <v>75</v>
      </c>
      <c r="M538" t="s">
        <v>27</v>
      </c>
      <c r="N538" t="s">
        <v>28</v>
      </c>
      <c r="O538">
        <v>1</v>
      </c>
      <c r="P538" t="s">
        <v>54</v>
      </c>
      <c r="Q538">
        <v>1</v>
      </c>
      <c r="R538" t="s">
        <v>30</v>
      </c>
      <c r="S538" t="s">
        <v>30</v>
      </c>
      <c r="T538" t="s">
        <v>31</v>
      </c>
    </row>
    <row r="539" spans="1:20" x14ac:dyDescent="0.35">
      <c r="A539" t="s">
        <v>597</v>
      </c>
      <c r="B539">
        <v>18</v>
      </c>
      <c r="C539" t="s">
        <v>21</v>
      </c>
      <c r="D539" t="s">
        <v>41</v>
      </c>
      <c r="E539">
        <v>397320</v>
      </c>
      <c r="F539" s="2" t="s">
        <v>1060</v>
      </c>
      <c r="G539" t="s">
        <v>24</v>
      </c>
      <c r="H539">
        <v>3</v>
      </c>
      <c r="I539" t="s">
        <v>35</v>
      </c>
      <c r="J539">
        <v>4</v>
      </c>
      <c r="K539" t="s">
        <v>42</v>
      </c>
      <c r="L539">
        <v>37</v>
      </c>
      <c r="M539" t="s">
        <v>27</v>
      </c>
      <c r="N539" t="s">
        <v>28</v>
      </c>
      <c r="O539">
        <v>1</v>
      </c>
      <c r="P539" t="s">
        <v>29</v>
      </c>
      <c r="Q539">
        <v>1</v>
      </c>
      <c r="R539" t="s">
        <v>30</v>
      </c>
      <c r="S539" t="s">
        <v>30</v>
      </c>
      <c r="T539" t="s">
        <v>31</v>
      </c>
    </row>
    <row r="540" spans="1:20" x14ac:dyDescent="0.35">
      <c r="A540" t="s">
        <v>598</v>
      </c>
      <c r="B540">
        <v>48</v>
      </c>
      <c r="C540" t="s">
        <v>33</v>
      </c>
      <c r="D540" t="s">
        <v>46</v>
      </c>
      <c r="E540">
        <v>853930</v>
      </c>
      <c r="F540" s="1" t="s">
        <v>1060</v>
      </c>
      <c r="G540" t="s">
        <v>24</v>
      </c>
      <c r="H540">
        <v>4</v>
      </c>
      <c r="I540" t="s">
        <v>25</v>
      </c>
      <c r="J540">
        <v>4</v>
      </c>
      <c r="K540" t="s">
        <v>47</v>
      </c>
      <c r="L540">
        <v>42</v>
      </c>
      <c r="M540" t="s">
        <v>69</v>
      </c>
      <c r="N540" t="s">
        <v>43</v>
      </c>
      <c r="O540">
        <v>1</v>
      </c>
      <c r="P540" t="s">
        <v>54</v>
      </c>
      <c r="Q540">
        <v>1</v>
      </c>
      <c r="R540" t="s">
        <v>27</v>
      </c>
      <c r="S540" t="s">
        <v>30</v>
      </c>
      <c r="T540" t="s">
        <v>31</v>
      </c>
    </row>
    <row r="541" spans="1:20" x14ac:dyDescent="0.35">
      <c r="A541" t="s">
        <v>599</v>
      </c>
      <c r="B541">
        <v>18</v>
      </c>
      <c r="C541" t="s">
        <v>33</v>
      </c>
      <c r="D541" t="s">
        <v>41</v>
      </c>
      <c r="E541">
        <v>335390</v>
      </c>
      <c r="F541" s="2" t="s">
        <v>1060</v>
      </c>
      <c r="G541" t="s">
        <v>59</v>
      </c>
      <c r="H541">
        <v>1</v>
      </c>
      <c r="I541" t="s">
        <v>35</v>
      </c>
      <c r="J541">
        <v>1</v>
      </c>
      <c r="K541" t="s">
        <v>42</v>
      </c>
      <c r="L541">
        <v>45</v>
      </c>
      <c r="M541" t="s">
        <v>86</v>
      </c>
      <c r="N541" t="s">
        <v>28</v>
      </c>
      <c r="O541">
        <v>1</v>
      </c>
      <c r="P541" t="s">
        <v>39</v>
      </c>
      <c r="Q541">
        <v>1</v>
      </c>
      <c r="R541" t="s">
        <v>27</v>
      </c>
      <c r="S541" t="s">
        <v>30</v>
      </c>
      <c r="T541" t="s">
        <v>31</v>
      </c>
    </row>
    <row r="542" spans="1:20" x14ac:dyDescent="0.35">
      <c r="A542" t="s">
        <v>600</v>
      </c>
      <c r="B542">
        <v>12</v>
      </c>
      <c r="C542" t="s">
        <v>33</v>
      </c>
      <c r="D542" t="s">
        <v>22</v>
      </c>
      <c r="E542">
        <v>168740</v>
      </c>
      <c r="F542" s="1" t="s">
        <v>1060</v>
      </c>
      <c r="G542" t="s">
        <v>59</v>
      </c>
      <c r="H542">
        <v>1</v>
      </c>
      <c r="I542" t="s">
        <v>25</v>
      </c>
      <c r="J542">
        <v>1</v>
      </c>
      <c r="K542" t="s">
        <v>26</v>
      </c>
      <c r="L542">
        <v>23</v>
      </c>
      <c r="M542" t="s">
        <v>27</v>
      </c>
      <c r="N542" t="s">
        <v>53</v>
      </c>
      <c r="O542">
        <v>1</v>
      </c>
      <c r="P542" t="s">
        <v>29</v>
      </c>
      <c r="Q542">
        <v>1</v>
      </c>
      <c r="R542" t="s">
        <v>27</v>
      </c>
      <c r="S542" t="s">
        <v>30</v>
      </c>
      <c r="T542" t="s">
        <v>31</v>
      </c>
    </row>
    <row r="543" spans="1:20" x14ac:dyDescent="0.35">
      <c r="A543" t="s">
        <v>601</v>
      </c>
      <c r="B543">
        <v>24</v>
      </c>
      <c r="C543" t="s">
        <v>45</v>
      </c>
      <c r="D543" t="s">
        <v>46</v>
      </c>
      <c r="E543">
        <v>223520</v>
      </c>
      <c r="F543" s="2" t="s">
        <v>1060</v>
      </c>
      <c r="G543" t="s">
        <v>24</v>
      </c>
      <c r="H543">
        <v>4</v>
      </c>
      <c r="I543" t="s">
        <v>25</v>
      </c>
      <c r="J543">
        <v>4</v>
      </c>
      <c r="K543" t="s">
        <v>47</v>
      </c>
      <c r="L543">
        <v>60</v>
      </c>
      <c r="M543" t="s">
        <v>27</v>
      </c>
      <c r="N543" t="s">
        <v>43</v>
      </c>
      <c r="O543">
        <v>2</v>
      </c>
      <c r="P543" t="s">
        <v>29</v>
      </c>
      <c r="Q543">
        <v>1</v>
      </c>
      <c r="R543" t="s">
        <v>30</v>
      </c>
      <c r="S543" t="s">
        <v>30</v>
      </c>
      <c r="T543" t="s">
        <v>31</v>
      </c>
    </row>
    <row r="544" spans="1:20" x14ac:dyDescent="0.35">
      <c r="A544" t="s">
        <v>602</v>
      </c>
      <c r="B544">
        <v>30</v>
      </c>
      <c r="C544" t="s">
        <v>33</v>
      </c>
      <c r="D544" t="s">
        <v>41</v>
      </c>
      <c r="E544">
        <v>698500</v>
      </c>
      <c r="F544" s="1" t="s">
        <v>23</v>
      </c>
      <c r="G544" t="s">
        <v>24</v>
      </c>
      <c r="H544">
        <v>4</v>
      </c>
      <c r="I544" t="s">
        <v>25</v>
      </c>
      <c r="J544">
        <v>4</v>
      </c>
      <c r="K544" t="s">
        <v>42</v>
      </c>
      <c r="L544">
        <v>31</v>
      </c>
      <c r="M544" t="s">
        <v>27</v>
      </c>
      <c r="N544" t="s">
        <v>28</v>
      </c>
      <c r="O544">
        <v>1</v>
      </c>
      <c r="P544" t="s">
        <v>29</v>
      </c>
      <c r="Q544">
        <v>1</v>
      </c>
      <c r="R544" t="s">
        <v>27</v>
      </c>
      <c r="S544" t="s">
        <v>30</v>
      </c>
      <c r="T544" t="s">
        <v>31</v>
      </c>
    </row>
    <row r="545" spans="1:20" x14ac:dyDescent="0.35">
      <c r="A545" t="s">
        <v>603</v>
      </c>
      <c r="B545">
        <v>18</v>
      </c>
      <c r="C545" t="s">
        <v>33</v>
      </c>
      <c r="D545" t="s">
        <v>41</v>
      </c>
      <c r="E545">
        <v>315040</v>
      </c>
      <c r="F545" s="2" t="s">
        <v>1060</v>
      </c>
      <c r="G545" t="s">
        <v>34</v>
      </c>
      <c r="H545">
        <v>2</v>
      </c>
      <c r="I545" t="s">
        <v>25</v>
      </c>
      <c r="J545">
        <v>1</v>
      </c>
      <c r="K545" t="s">
        <v>26</v>
      </c>
      <c r="L545">
        <v>34</v>
      </c>
      <c r="M545" t="s">
        <v>27</v>
      </c>
      <c r="N545" t="s">
        <v>28</v>
      </c>
      <c r="O545">
        <v>1</v>
      </c>
      <c r="P545" t="s">
        <v>39</v>
      </c>
      <c r="Q545">
        <v>2</v>
      </c>
      <c r="R545" t="s">
        <v>27</v>
      </c>
      <c r="S545" t="s">
        <v>30</v>
      </c>
      <c r="T545" t="s">
        <v>31</v>
      </c>
    </row>
    <row r="546" spans="1:20" x14ac:dyDescent="0.35">
      <c r="A546" t="s">
        <v>604</v>
      </c>
      <c r="B546">
        <v>12</v>
      </c>
      <c r="C546" t="s">
        <v>21</v>
      </c>
      <c r="D546" t="s">
        <v>46</v>
      </c>
      <c r="E546">
        <v>138050</v>
      </c>
      <c r="F546" s="1" t="s">
        <v>1060</v>
      </c>
      <c r="G546" t="s">
        <v>24</v>
      </c>
      <c r="H546">
        <v>4</v>
      </c>
      <c r="I546" t="s">
        <v>25</v>
      </c>
      <c r="J546">
        <v>4</v>
      </c>
      <c r="K546" t="s">
        <v>26</v>
      </c>
      <c r="L546">
        <v>61</v>
      </c>
      <c r="M546" t="s">
        <v>27</v>
      </c>
      <c r="N546" t="s">
        <v>28</v>
      </c>
      <c r="O546">
        <v>2</v>
      </c>
      <c r="P546" t="s">
        <v>39</v>
      </c>
      <c r="Q546">
        <v>1</v>
      </c>
      <c r="R546" t="s">
        <v>27</v>
      </c>
      <c r="S546" t="s">
        <v>30</v>
      </c>
      <c r="T546" t="s">
        <v>31</v>
      </c>
    </row>
    <row r="547" spans="1:20" x14ac:dyDescent="0.35">
      <c r="A547" t="s">
        <v>605</v>
      </c>
      <c r="B547">
        <v>24</v>
      </c>
      <c r="C547" t="s">
        <v>45</v>
      </c>
      <c r="D547" t="s">
        <v>46</v>
      </c>
      <c r="E547">
        <v>146630</v>
      </c>
      <c r="F547" s="2" t="s">
        <v>1060</v>
      </c>
      <c r="G547" t="s">
        <v>57</v>
      </c>
      <c r="H547">
        <v>4</v>
      </c>
      <c r="I547" t="s">
        <v>25</v>
      </c>
      <c r="J547">
        <v>2</v>
      </c>
      <c r="K547" t="s">
        <v>26</v>
      </c>
      <c r="L547">
        <v>43</v>
      </c>
      <c r="M547" t="s">
        <v>27</v>
      </c>
      <c r="N547" t="s">
        <v>43</v>
      </c>
      <c r="O547">
        <v>2</v>
      </c>
      <c r="P547" t="s">
        <v>29</v>
      </c>
      <c r="Q547">
        <v>2</v>
      </c>
      <c r="R547" t="s">
        <v>27</v>
      </c>
      <c r="S547" t="s">
        <v>30</v>
      </c>
      <c r="T547" t="s">
        <v>31</v>
      </c>
    </row>
    <row r="548" spans="1:20" x14ac:dyDescent="0.35">
      <c r="A548" t="s">
        <v>606</v>
      </c>
      <c r="B548">
        <v>24</v>
      </c>
      <c r="C548" t="s">
        <v>21</v>
      </c>
      <c r="D548" t="s">
        <v>46</v>
      </c>
      <c r="E548">
        <v>222420</v>
      </c>
      <c r="F548" s="1" t="s">
        <v>1060</v>
      </c>
      <c r="G548" t="s">
        <v>34</v>
      </c>
      <c r="H548">
        <v>4</v>
      </c>
      <c r="I548" t="s">
        <v>35</v>
      </c>
      <c r="J548">
        <v>4</v>
      </c>
      <c r="K548" t="s">
        <v>52</v>
      </c>
      <c r="L548">
        <v>37</v>
      </c>
      <c r="M548" t="s">
        <v>27</v>
      </c>
      <c r="N548" t="s">
        <v>28</v>
      </c>
      <c r="O548">
        <v>1</v>
      </c>
      <c r="P548" t="s">
        <v>29</v>
      </c>
      <c r="Q548">
        <v>1</v>
      </c>
      <c r="R548" t="s">
        <v>30</v>
      </c>
      <c r="S548" t="s">
        <v>30</v>
      </c>
      <c r="T548" t="s">
        <v>31</v>
      </c>
    </row>
    <row r="549" spans="1:20" x14ac:dyDescent="0.35">
      <c r="A549" t="s">
        <v>607</v>
      </c>
      <c r="B549">
        <v>24</v>
      </c>
      <c r="C549" t="s">
        <v>33</v>
      </c>
      <c r="D549" t="s">
        <v>22</v>
      </c>
      <c r="E549">
        <v>170720</v>
      </c>
      <c r="F549" s="2" t="s">
        <v>1060</v>
      </c>
      <c r="G549" t="s">
        <v>38</v>
      </c>
      <c r="H549">
        <v>3</v>
      </c>
      <c r="I549" t="s">
        <v>25</v>
      </c>
      <c r="J549">
        <v>1</v>
      </c>
      <c r="K549" t="s">
        <v>52</v>
      </c>
      <c r="L549">
        <v>32</v>
      </c>
      <c r="M549" t="s">
        <v>69</v>
      </c>
      <c r="N549" t="s">
        <v>28</v>
      </c>
      <c r="O549">
        <v>1</v>
      </c>
      <c r="P549" t="s">
        <v>29</v>
      </c>
      <c r="Q549">
        <v>2</v>
      </c>
      <c r="R549" t="s">
        <v>27</v>
      </c>
      <c r="S549" t="s">
        <v>30</v>
      </c>
      <c r="T549" t="s">
        <v>31</v>
      </c>
    </row>
    <row r="550" spans="1:20" x14ac:dyDescent="0.35">
      <c r="A550" t="s">
        <v>608</v>
      </c>
      <c r="B550">
        <v>12</v>
      </c>
      <c r="C550" t="s">
        <v>81</v>
      </c>
      <c r="D550" t="s">
        <v>22</v>
      </c>
      <c r="E550">
        <v>68860</v>
      </c>
      <c r="F550" s="1" t="s">
        <v>1060</v>
      </c>
      <c r="G550" t="s">
        <v>34</v>
      </c>
      <c r="H550">
        <v>4</v>
      </c>
      <c r="I550" t="s">
        <v>35</v>
      </c>
      <c r="J550">
        <v>4</v>
      </c>
      <c r="K550" t="s">
        <v>26</v>
      </c>
      <c r="L550">
        <v>24</v>
      </c>
      <c r="M550" t="s">
        <v>69</v>
      </c>
      <c r="N550" t="s">
        <v>28</v>
      </c>
      <c r="O550">
        <v>1</v>
      </c>
      <c r="P550" t="s">
        <v>39</v>
      </c>
      <c r="Q550">
        <v>1</v>
      </c>
      <c r="R550" t="s">
        <v>27</v>
      </c>
      <c r="S550" t="s">
        <v>30</v>
      </c>
      <c r="T550" t="s">
        <v>31</v>
      </c>
    </row>
    <row r="551" spans="1:20" x14ac:dyDescent="0.35">
      <c r="A551" t="s">
        <v>609</v>
      </c>
      <c r="B551">
        <v>48</v>
      </c>
      <c r="C551" t="s">
        <v>21</v>
      </c>
      <c r="D551" t="s">
        <v>51</v>
      </c>
      <c r="E551">
        <v>974380</v>
      </c>
      <c r="F551" s="2" t="s">
        <v>23</v>
      </c>
      <c r="G551" t="s">
        <v>38</v>
      </c>
      <c r="H551">
        <v>2</v>
      </c>
      <c r="I551" t="s">
        <v>25</v>
      </c>
      <c r="J551">
        <v>1</v>
      </c>
      <c r="K551" t="s">
        <v>47</v>
      </c>
      <c r="L551">
        <v>35</v>
      </c>
      <c r="M551" t="s">
        <v>27</v>
      </c>
      <c r="N551" t="s">
        <v>43</v>
      </c>
      <c r="O551">
        <v>2</v>
      </c>
      <c r="P551" t="s">
        <v>29</v>
      </c>
      <c r="Q551">
        <v>1</v>
      </c>
      <c r="R551" t="s">
        <v>30</v>
      </c>
      <c r="S551" t="s">
        <v>30</v>
      </c>
      <c r="T551" t="s">
        <v>31</v>
      </c>
    </row>
    <row r="552" spans="1:20" x14ac:dyDescent="0.35">
      <c r="A552" t="s">
        <v>610</v>
      </c>
      <c r="B552">
        <v>12</v>
      </c>
      <c r="C552" t="s">
        <v>21</v>
      </c>
      <c r="D552" t="s">
        <v>99</v>
      </c>
      <c r="E552">
        <v>109560</v>
      </c>
      <c r="F552" s="1" t="s">
        <v>23</v>
      </c>
      <c r="G552" t="s">
        <v>38</v>
      </c>
      <c r="H552">
        <v>4</v>
      </c>
      <c r="I552" t="s">
        <v>35</v>
      </c>
      <c r="J552">
        <v>4</v>
      </c>
      <c r="K552" t="s">
        <v>26</v>
      </c>
      <c r="L552">
        <v>23</v>
      </c>
      <c r="M552" t="s">
        <v>27</v>
      </c>
      <c r="N552" t="s">
        <v>28</v>
      </c>
      <c r="O552">
        <v>2</v>
      </c>
      <c r="P552" t="s">
        <v>29</v>
      </c>
      <c r="Q552">
        <v>1</v>
      </c>
      <c r="R552" t="s">
        <v>27</v>
      </c>
      <c r="S552" t="s">
        <v>30</v>
      </c>
      <c r="T552" t="s">
        <v>31</v>
      </c>
    </row>
    <row r="553" spans="1:20" x14ac:dyDescent="0.35">
      <c r="A553" t="s">
        <v>611</v>
      </c>
      <c r="B553">
        <v>6</v>
      </c>
      <c r="C553" t="s">
        <v>81</v>
      </c>
      <c r="D553" t="s">
        <v>22</v>
      </c>
      <c r="E553">
        <v>192500</v>
      </c>
      <c r="F553" s="2" t="s">
        <v>1061</v>
      </c>
      <c r="G553" t="s">
        <v>24</v>
      </c>
      <c r="H553">
        <v>2</v>
      </c>
      <c r="I553" t="s">
        <v>25</v>
      </c>
      <c r="J553">
        <v>4</v>
      </c>
      <c r="K553" t="s">
        <v>42</v>
      </c>
      <c r="L553">
        <v>45</v>
      </c>
      <c r="M553" t="s">
        <v>69</v>
      </c>
      <c r="N553" t="s">
        <v>28</v>
      </c>
      <c r="O553">
        <v>1</v>
      </c>
      <c r="P553" t="s">
        <v>39</v>
      </c>
      <c r="Q553">
        <v>2</v>
      </c>
      <c r="R553" t="s">
        <v>27</v>
      </c>
      <c r="S553" t="s">
        <v>30</v>
      </c>
      <c r="T553" t="s">
        <v>31</v>
      </c>
    </row>
    <row r="554" spans="1:20" x14ac:dyDescent="0.35">
      <c r="A554" t="s">
        <v>612</v>
      </c>
      <c r="B554">
        <v>48</v>
      </c>
      <c r="C554" t="s">
        <v>33</v>
      </c>
      <c r="D554" t="s">
        <v>22</v>
      </c>
      <c r="E554">
        <v>769890</v>
      </c>
      <c r="F554" s="1" t="s">
        <v>1060</v>
      </c>
      <c r="G554" t="s">
        <v>38</v>
      </c>
      <c r="H554">
        <v>1</v>
      </c>
      <c r="I554" t="s">
        <v>25</v>
      </c>
      <c r="J554">
        <v>1</v>
      </c>
      <c r="K554" t="s">
        <v>26</v>
      </c>
      <c r="L554">
        <v>34</v>
      </c>
      <c r="M554" t="s">
        <v>27</v>
      </c>
      <c r="N554" t="s">
        <v>28</v>
      </c>
      <c r="O554">
        <v>2</v>
      </c>
      <c r="P554" t="s">
        <v>29</v>
      </c>
      <c r="Q554">
        <v>1</v>
      </c>
      <c r="R554" t="s">
        <v>30</v>
      </c>
      <c r="S554" t="s">
        <v>30</v>
      </c>
      <c r="T554" t="s">
        <v>31</v>
      </c>
    </row>
    <row r="555" spans="1:20" x14ac:dyDescent="0.35">
      <c r="A555" t="s">
        <v>613</v>
      </c>
      <c r="B555">
        <v>12</v>
      </c>
      <c r="C555" t="s">
        <v>21</v>
      </c>
      <c r="D555" t="s">
        <v>46</v>
      </c>
      <c r="E555">
        <v>219450</v>
      </c>
      <c r="F555" s="2" t="s">
        <v>1063</v>
      </c>
      <c r="G555" t="s">
        <v>59</v>
      </c>
      <c r="H555">
        <v>4</v>
      </c>
      <c r="I555" t="s">
        <v>25</v>
      </c>
      <c r="J555">
        <v>1</v>
      </c>
      <c r="K555" t="s">
        <v>52</v>
      </c>
      <c r="L555">
        <v>27</v>
      </c>
      <c r="M555" t="s">
        <v>27</v>
      </c>
      <c r="N555" t="s">
        <v>28</v>
      </c>
      <c r="O555">
        <v>1</v>
      </c>
      <c r="P555" t="s">
        <v>29</v>
      </c>
      <c r="Q555">
        <v>1</v>
      </c>
      <c r="R555" t="s">
        <v>27</v>
      </c>
      <c r="S555" t="s">
        <v>30</v>
      </c>
      <c r="T555" t="s">
        <v>31</v>
      </c>
    </row>
    <row r="556" spans="1:20" x14ac:dyDescent="0.35">
      <c r="A556" t="s">
        <v>614</v>
      </c>
      <c r="B556">
        <v>9</v>
      </c>
      <c r="C556" t="s">
        <v>33</v>
      </c>
      <c r="D556" t="s">
        <v>37</v>
      </c>
      <c r="E556">
        <v>131890</v>
      </c>
      <c r="F556" s="1" t="s">
        <v>1060</v>
      </c>
      <c r="G556" t="s">
        <v>38</v>
      </c>
      <c r="H556">
        <v>4</v>
      </c>
      <c r="I556" t="s">
        <v>35</v>
      </c>
      <c r="J556">
        <v>4</v>
      </c>
      <c r="K556" t="s">
        <v>42</v>
      </c>
      <c r="L556">
        <v>67</v>
      </c>
      <c r="M556" t="s">
        <v>27</v>
      </c>
      <c r="N556" t="s">
        <v>28</v>
      </c>
      <c r="O556">
        <v>2</v>
      </c>
      <c r="P556" t="s">
        <v>54</v>
      </c>
      <c r="Q556">
        <v>1</v>
      </c>
      <c r="R556" t="s">
        <v>30</v>
      </c>
      <c r="S556" t="s">
        <v>30</v>
      </c>
      <c r="T556" t="s">
        <v>31</v>
      </c>
    </row>
    <row r="557" spans="1:20" x14ac:dyDescent="0.35">
      <c r="A557" t="s">
        <v>615</v>
      </c>
      <c r="B557">
        <v>12</v>
      </c>
      <c r="C557" t="s">
        <v>33</v>
      </c>
      <c r="D557" t="s">
        <v>22</v>
      </c>
      <c r="E557">
        <v>146410</v>
      </c>
      <c r="F557" s="2" t="s">
        <v>1060</v>
      </c>
      <c r="G557" t="s">
        <v>59</v>
      </c>
      <c r="H557">
        <v>2</v>
      </c>
      <c r="I557" t="s">
        <v>25</v>
      </c>
      <c r="J557">
        <v>1</v>
      </c>
      <c r="K557" t="s">
        <v>52</v>
      </c>
      <c r="L557">
        <v>22</v>
      </c>
      <c r="M557" t="s">
        <v>86</v>
      </c>
      <c r="N557" t="s">
        <v>28</v>
      </c>
      <c r="O557">
        <v>1</v>
      </c>
      <c r="P557" t="s">
        <v>29</v>
      </c>
      <c r="Q557">
        <v>1</v>
      </c>
      <c r="R557" t="s">
        <v>27</v>
      </c>
      <c r="S557" t="s">
        <v>30</v>
      </c>
      <c r="T557" t="s">
        <v>31</v>
      </c>
    </row>
    <row r="558" spans="1:20" x14ac:dyDescent="0.35">
      <c r="A558" t="s">
        <v>616</v>
      </c>
      <c r="B558">
        <v>18</v>
      </c>
      <c r="C558" t="s">
        <v>68</v>
      </c>
      <c r="D558" t="s">
        <v>46</v>
      </c>
      <c r="E558">
        <v>250580</v>
      </c>
      <c r="F558" s="1" t="s">
        <v>1063</v>
      </c>
      <c r="G558" t="s">
        <v>59</v>
      </c>
      <c r="H558">
        <v>3</v>
      </c>
      <c r="I558" t="s">
        <v>35</v>
      </c>
      <c r="J558">
        <v>3</v>
      </c>
      <c r="K558" t="s">
        <v>52</v>
      </c>
      <c r="L558">
        <v>28</v>
      </c>
      <c r="M558" t="s">
        <v>27</v>
      </c>
      <c r="N558" t="s">
        <v>28</v>
      </c>
      <c r="O558">
        <v>2</v>
      </c>
      <c r="P558" t="s">
        <v>29</v>
      </c>
      <c r="Q558">
        <v>1</v>
      </c>
      <c r="R558" t="s">
        <v>27</v>
      </c>
      <c r="S558" t="s">
        <v>30</v>
      </c>
      <c r="T558" t="s">
        <v>31</v>
      </c>
    </row>
    <row r="559" spans="1:20" x14ac:dyDescent="0.35">
      <c r="A559" t="s">
        <v>617</v>
      </c>
      <c r="B559">
        <v>21</v>
      </c>
      <c r="C559" t="s">
        <v>68</v>
      </c>
      <c r="D559" t="s">
        <v>46</v>
      </c>
      <c r="E559">
        <v>550330</v>
      </c>
      <c r="F559" s="2" t="s">
        <v>23</v>
      </c>
      <c r="G559" t="s">
        <v>34</v>
      </c>
      <c r="H559">
        <v>1</v>
      </c>
      <c r="I559" t="s">
        <v>35</v>
      </c>
      <c r="J559">
        <v>4</v>
      </c>
      <c r="K559" t="s">
        <v>42</v>
      </c>
      <c r="L559">
        <v>29</v>
      </c>
      <c r="M559" t="s">
        <v>69</v>
      </c>
      <c r="N559" t="s">
        <v>28</v>
      </c>
      <c r="O559">
        <v>2</v>
      </c>
      <c r="P559" t="s">
        <v>29</v>
      </c>
      <c r="Q559">
        <v>1</v>
      </c>
      <c r="R559" t="s">
        <v>30</v>
      </c>
      <c r="S559" t="s">
        <v>30</v>
      </c>
      <c r="T559" t="s">
        <v>31</v>
      </c>
    </row>
    <row r="560" spans="1:20" x14ac:dyDescent="0.35">
      <c r="A560" t="s">
        <v>618</v>
      </c>
      <c r="B560">
        <v>24</v>
      </c>
      <c r="C560" t="s">
        <v>81</v>
      </c>
      <c r="D560" t="s">
        <v>41</v>
      </c>
      <c r="E560">
        <v>390720</v>
      </c>
      <c r="F560" s="1" t="s">
        <v>1060</v>
      </c>
      <c r="G560" t="s">
        <v>38</v>
      </c>
      <c r="H560">
        <v>3</v>
      </c>
      <c r="I560" t="s">
        <v>25</v>
      </c>
      <c r="J560">
        <v>4</v>
      </c>
      <c r="K560" t="s">
        <v>52</v>
      </c>
      <c r="L560">
        <v>27</v>
      </c>
      <c r="M560" t="s">
        <v>69</v>
      </c>
      <c r="N560" t="s">
        <v>28</v>
      </c>
      <c r="O560">
        <v>1</v>
      </c>
      <c r="P560" t="s">
        <v>29</v>
      </c>
      <c r="Q560">
        <v>1</v>
      </c>
      <c r="R560" t="s">
        <v>27</v>
      </c>
      <c r="S560" t="s">
        <v>30</v>
      </c>
      <c r="T560" t="s">
        <v>31</v>
      </c>
    </row>
    <row r="561" spans="1:20" x14ac:dyDescent="0.35">
      <c r="A561" t="s">
        <v>619</v>
      </c>
      <c r="B561">
        <v>18</v>
      </c>
      <c r="C561" t="s">
        <v>21</v>
      </c>
      <c r="D561" t="s">
        <v>41</v>
      </c>
      <c r="E561">
        <v>212080</v>
      </c>
      <c r="F561" s="2" t="s">
        <v>1060</v>
      </c>
      <c r="G561" t="s">
        <v>59</v>
      </c>
      <c r="H561">
        <v>2</v>
      </c>
      <c r="I561" t="s">
        <v>25</v>
      </c>
      <c r="J561">
        <v>2</v>
      </c>
      <c r="K561" t="s">
        <v>26</v>
      </c>
      <c r="L561">
        <v>31</v>
      </c>
      <c r="M561" t="s">
        <v>27</v>
      </c>
      <c r="N561" t="s">
        <v>28</v>
      </c>
      <c r="O561">
        <v>2</v>
      </c>
      <c r="P561" t="s">
        <v>39</v>
      </c>
      <c r="Q561">
        <v>1</v>
      </c>
      <c r="R561" t="s">
        <v>27</v>
      </c>
      <c r="S561" t="s">
        <v>30</v>
      </c>
      <c r="T561" t="s">
        <v>31</v>
      </c>
    </row>
    <row r="562" spans="1:20" x14ac:dyDescent="0.35">
      <c r="A562" t="s">
        <v>620</v>
      </c>
      <c r="B562">
        <v>24</v>
      </c>
      <c r="C562" t="s">
        <v>33</v>
      </c>
      <c r="D562" t="s">
        <v>51</v>
      </c>
      <c r="E562">
        <v>326040</v>
      </c>
      <c r="F562" s="1" t="s">
        <v>23</v>
      </c>
      <c r="G562" t="s">
        <v>24</v>
      </c>
      <c r="H562">
        <v>4</v>
      </c>
      <c r="I562" t="s">
        <v>25</v>
      </c>
      <c r="J562">
        <v>4</v>
      </c>
      <c r="K562" t="s">
        <v>47</v>
      </c>
      <c r="L562">
        <v>49</v>
      </c>
      <c r="M562" t="s">
        <v>69</v>
      </c>
      <c r="N562" t="s">
        <v>43</v>
      </c>
      <c r="O562">
        <v>1</v>
      </c>
      <c r="P562" t="s">
        <v>29</v>
      </c>
      <c r="Q562">
        <v>2</v>
      </c>
      <c r="R562" t="s">
        <v>30</v>
      </c>
      <c r="S562" t="s">
        <v>30</v>
      </c>
      <c r="T562" t="s">
        <v>31</v>
      </c>
    </row>
    <row r="563" spans="1:20" x14ac:dyDescent="0.35">
      <c r="A563" t="s">
        <v>621</v>
      </c>
      <c r="B563">
        <v>24</v>
      </c>
      <c r="C563" t="s">
        <v>81</v>
      </c>
      <c r="D563" t="s">
        <v>22</v>
      </c>
      <c r="E563">
        <v>170060</v>
      </c>
      <c r="F563" s="2" t="s">
        <v>1060</v>
      </c>
      <c r="G563" t="s">
        <v>38</v>
      </c>
      <c r="H563">
        <v>4</v>
      </c>
      <c r="I563" t="s">
        <v>25</v>
      </c>
      <c r="J563">
        <v>4</v>
      </c>
      <c r="K563" t="s">
        <v>52</v>
      </c>
      <c r="L563">
        <v>24</v>
      </c>
      <c r="M563" t="s">
        <v>69</v>
      </c>
      <c r="N563" t="s">
        <v>53</v>
      </c>
      <c r="O563">
        <v>1</v>
      </c>
      <c r="P563" t="s">
        <v>39</v>
      </c>
      <c r="Q563">
        <v>1</v>
      </c>
      <c r="R563" t="s">
        <v>27</v>
      </c>
      <c r="S563" t="s">
        <v>30</v>
      </c>
      <c r="T563" t="s">
        <v>31</v>
      </c>
    </row>
    <row r="564" spans="1:20" x14ac:dyDescent="0.35">
      <c r="A564" t="s">
        <v>622</v>
      </c>
      <c r="B564">
        <v>6</v>
      </c>
      <c r="C564" t="s">
        <v>45</v>
      </c>
      <c r="D564" t="s">
        <v>22</v>
      </c>
      <c r="E564">
        <v>75130</v>
      </c>
      <c r="F564" s="1" t="s">
        <v>1060</v>
      </c>
      <c r="G564" t="s">
        <v>59</v>
      </c>
      <c r="H564">
        <v>2</v>
      </c>
      <c r="I564" t="s">
        <v>35</v>
      </c>
      <c r="J564">
        <v>1</v>
      </c>
      <c r="K564" t="s">
        <v>42</v>
      </c>
      <c r="L564">
        <v>29</v>
      </c>
      <c r="M564" t="s">
        <v>69</v>
      </c>
      <c r="N564" t="s">
        <v>28</v>
      </c>
      <c r="O564">
        <v>1</v>
      </c>
      <c r="P564" t="s">
        <v>29</v>
      </c>
      <c r="Q564">
        <v>1</v>
      </c>
      <c r="R564" t="s">
        <v>27</v>
      </c>
      <c r="S564" t="s">
        <v>30</v>
      </c>
      <c r="T564" t="s">
        <v>31</v>
      </c>
    </row>
    <row r="565" spans="1:20" x14ac:dyDescent="0.35">
      <c r="A565" t="s">
        <v>623</v>
      </c>
      <c r="B565">
        <v>36</v>
      </c>
      <c r="C565" t="s">
        <v>33</v>
      </c>
      <c r="D565" t="s">
        <v>46</v>
      </c>
      <c r="E565">
        <v>1362790</v>
      </c>
      <c r="F565" s="2" t="s">
        <v>23</v>
      </c>
      <c r="G565" t="s">
        <v>34</v>
      </c>
      <c r="H565">
        <v>1</v>
      </c>
      <c r="I565" t="s">
        <v>25</v>
      </c>
      <c r="J565">
        <v>4</v>
      </c>
      <c r="K565" t="s">
        <v>47</v>
      </c>
      <c r="L565">
        <v>37</v>
      </c>
      <c r="M565" t="s">
        <v>27</v>
      </c>
      <c r="N565" t="s">
        <v>43</v>
      </c>
      <c r="O565">
        <v>1</v>
      </c>
      <c r="P565" t="s">
        <v>29</v>
      </c>
      <c r="Q565">
        <v>1</v>
      </c>
      <c r="R565" t="s">
        <v>30</v>
      </c>
      <c r="S565" t="s">
        <v>30</v>
      </c>
      <c r="T565" t="s">
        <v>31</v>
      </c>
    </row>
    <row r="566" spans="1:20" x14ac:dyDescent="0.35">
      <c r="A566" t="s">
        <v>624</v>
      </c>
      <c r="B566">
        <v>24</v>
      </c>
      <c r="C566" t="s">
        <v>45</v>
      </c>
      <c r="D566" t="s">
        <v>61</v>
      </c>
      <c r="E566">
        <v>518320</v>
      </c>
      <c r="F566" s="1" t="s">
        <v>23</v>
      </c>
      <c r="G566" t="s">
        <v>34</v>
      </c>
      <c r="H566">
        <v>4</v>
      </c>
      <c r="I566" t="s">
        <v>25</v>
      </c>
      <c r="J566">
        <v>2</v>
      </c>
      <c r="K566" t="s">
        <v>42</v>
      </c>
      <c r="L566">
        <v>37</v>
      </c>
      <c r="M566" t="s">
        <v>69</v>
      </c>
      <c r="N566" t="s">
        <v>28</v>
      </c>
      <c r="O566">
        <v>2</v>
      </c>
      <c r="P566" t="s">
        <v>54</v>
      </c>
      <c r="Q566">
        <v>1</v>
      </c>
      <c r="R566" t="s">
        <v>30</v>
      </c>
      <c r="S566" t="s">
        <v>30</v>
      </c>
      <c r="T566" t="s">
        <v>31</v>
      </c>
    </row>
    <row r="567" spans="1:20" x14ac:dyDescent="0.35">
      <c r="A567" t="s">
        <v>625</v>
      </c>
      <c r="B567">
        <v>24</v>
      </c>
      <c r="C567" t="s">
        <v>45</v>
      </c>
      <c r="D567" t="s">
        <v>22</v>
      </c>
      <c r="E567">
        <v>170830</v>
      </c>
      <c r="F567" s="2" t="s">
        <v>1063</v>
      </c>
      <c r="G567" t="s">
        <v>38</v>
      </c>
      <c r="H567">
        <v>3</v>
      </c>
      <c r="I567" t="s">
        <v>35</v>
      </c>
      <c r="J567">
        <v>2</v>
      </c>
      <c r="K567" t="s">
        <v>42</v>
      </c>
      <c r="L567">
        <v>23</v>
      </c>
      <c r="M567" t="s">
        <v>27</v>
      </c>
      <c r="N567" t="s">
        <v>53</v>
      </c>
      <c r="O567">
        <v>2</v>
      </c>
      <c r="P567" t="s">
        <v>29</v>
      </c>
      <c r="Q567">
        <v>1</v>
      </c>
      <c r="R567" t="s">
        <v>30</v>
      </c>
      <c r="S567" t="s">
        <v>30</v>
      </c>
      <c r="T567" t="s">
        <v>31</v>
      </c>
    </row>
    <row r="568" spans="1:20" x14ac:dyDescent="0.35">
      <c r="A568" t="s">
        <v>626</v>
      </c>
      <c r="B568">
        <v>12</v>
      </c>
      <c r="C568" t="s">
        <v>33</v>
      </c>
      <c r="D568" t="s">
        <v>46</v>
      </c>
      <c r="E568">
        <v>150920</v>
      </c>
      <c r="F568" s="1" t="s">
        <v>1060</v>
      </c>
      <c r="G568" t="s">
        <v>38</v>
      </c>
      <c r="H568">
        <v>2</v>
      </c>
      <c r="I568" t="s">
        <v>25</v>
      </c>
      <c r="J568">
        <v>3</v>
      </c>
      <c r="K568" t="s">
        <v>52</v>
      </c>
      <c r="L568">
        <v>36</v>
      </c>
      <c r="M568" t="s">
        <v>27</v>
      </c>
      <c r="N568" t="s">
        <v>28</v>
      </c>
      <c r="O568">
        <v>1</v>
      </c>
      <c r="P568" t="s">
        <v>29</v>
      </c>
      <c r="Q568">
        <v>1</v>
      </c>
      <c r="R568" t="s">
        <v>27</v>
      </c>
      <c r="S568" t="s">
        <v>30</v>
      </c>
      <c r="T568" t="s">
        <v>31</v>
      </c>
    </row>
    <row r="569" spans="1:20" x14ac:dyDescent="0.35">
      <c r="A569" t="s">
        <v>627</v>
      </c>
      <c r="B569">
        <v>24</v>
      </c>
      <c r="C569" t="s">
        <v>21</v>
      </c>
      <c r="D569" t="s">
        <v>22</v>
      </c>
      <c r="E569">
        <v>283580</v>
      </c>
      <c r="F569" s="2" t="s">
        <v>1062</v>
      </c>
      <c r="G569" t="s">
        <v>24</v>
      </c>
      <c r="H569">
        <v>2</v>
      </c>
      <c r="I569" t="s">
        <v>25</v>
      </c>
      <c r="J569">
        <v>2</v>
      </c>
      <c r="K569" t="s">
        <v>52</v>
      </c>
      <c r="L569">
        <v>34</v>
      </c>
      <c r="M569" t="s">
        <v>27</v>
      </c>
      <c r="N569" t="s">
        <v>28</v>
      </c>
      <c r="O569">
        <v>1</v>
      </c>
      <c r="P569" t="s">
        <v>29</v>
      </c>
      <c r="Q569">
        <v>1</v>
      </c>
      <c r="R569" t="s">
        <v>27</v>
      </c>
      <c r="S569" t="s">
        <v>30</v>
      </c>
      <c r="T569" t="s">
        <v>31</v>
      </c>
    </row>
    <row r="570" spans="1:20" x14ac:dyDescent="0.35">
      <c r="A570" t="s">
        <v>628</v>
      </c>
      <c r="B570">
        <v>48</v>
      </c>
      <c r="C570" t="s">
        <v>33</v>
      </c>
      <c r="D570" t="s">
        <v>22</v>
      </c>
      <c r="E570">
        <v>437690</v>
      </c>
      <c r="F570" s="1" t="s">
        <v>23</v>
      </c>
      <c r="G570" t="s">
        <v>38</v>
      </c>
      <c r="H570">
        <v>4</v>
      </c>
      <c r="I570" t="s">
        <v>25</v>
      </c>
      <c r="J570">
        <v>1</v>
      </c>
      <c r="K570" t="s">
        <v>52</v>
      </c>
      <c r="L570">
        <v>41</v>
      </c>
      <c r="M570" t="s">
        <v>27</v>
      </c>
      <c r="N570" t="s">
        <v>28</v>
      </c>
      <c r="O570">
        <v>2</v>
      </c>
      <c r="P570" t="s">
        <v>29</v>
      </c>
      <c r="Q570">
        <v>2</v>
      </c>
      <c r="R570" t="s">
        <v>30</v>
      </c>
      <c r="S570" t="s">
        <v>30</v>
      </c>
      <c r="T570" t="s">
        <v>31</v>
      </c>
    </row>
    <row r="571" spans="1:20" x14ac:dyDescent="0.35">
      <c r="A571" t="s">
        <v>629</v>
      </c>
      <c r="B571">
        <v>48</v>
      </c>
      <c r="C571" t="s">
        <v>33</v>
      </c>
      <c r="D571" t="s">
        <v>22</v>
      </c>
      <c r="E571">
        <v>743380</v>
      </c>
      <c r="F571" s="2" t="s">
        <v>1060</v>
      </c>
      <c r="G571" t="s">
        <v>34</v>
      </c>
      <c r="H571">
        <v>3</v>
      </c>
      <c r="I571" t="s">
        <v>35</v>
      </c>
      <c r="J571">
        <v>2</v>
      </c>
      <c r="K571" t="s">
        <v>52</v>
      </c>
      <c r="L571">
        <v>31</v>
      </c>
      <c r="M571" t="s">
        <v>27</v>
      </c>
      <c r="N571" t="s">
        <v>28</v>
      </c>
      <c r="O571">
        <v>1</v>
      </c>
      <c r="P571" t="s">
        <v>29</v>
      </c>
      <c r="Q571">
        <v>1</v>
      </c>
      <c r="R571" t="s">
        <v>30</v>
      </c>
      <c r="S571" t="s">
        <v>30</v>
      </c>
      <c r="T571" t="s">
        <v>31</v>
      </c>
    </row>
    <row r="572" spans="1:20" x14ac:dyDescent="0.35">
      <c r="A572" t="s">
        <v>630</v>
      </c>
      <c r="B572">
        <v>24</v>
      </c>
      <c r="C572" t="s">
        <v>33</v>
      </c>
      <c r="D572" t="s">
        <v>41</v>
      </c>
      <c r="E572">
        <v>355740</v>
      </c>
      <c r="F572" s="1" t="s">
        <v>1060</v>
      </c>
      <c r="G572" t="s">
        <v>59</v>
      </c>
      <c r="H572">
        <v>4</v>
      </c>
      <c r="I572" t="s">
        <v>35</v>
      </c>
      <c r="J572">
        <v>4</v>
      </c>
      <c r="K572" t="s">
        <v>26</v>
      </c>
      <c r="L572">
        <v>23</v>
      </c>
      <c r="M572" t="s">
        <v>27</v>
      </c>
      <c r="N572" t="s">
        <v>53</v>
      </c>
      <c r="O572">
        <v>1</v>
      </c>
      <c r="P572" t="s">
        <v>39</v>
      </c>
      <c r="Q572">
        <v>1</v>
      </c>
      <c r="R572" t="s">
        <v>30</v>
      </c>
      <c r="S572" t="s">
        <v>30</v>
      </c>
      <c r="T572" t="s">
        <v>31</v>
      </c>
    </row>
    <row r="573" spans="1:20" x14ac:dyDescent="0.35">
      <c r="A573" t="s">
        <v>631</v>
      </c>
      <c r="B573">
        <v>30</v>
      </c>
      <c r="C573" t="s">
        <v>21</v>
      </c>
      <c r="D573" t="s">
        <v>22</v>
      </c>
      <c r="E573">
        <v>654940</v>
      </c>
      <c r="F573" s="2" t="s">
        <v>1060</v>
      </c>
      <c r="G573" t="s">
        <v>38</v>
      </c>
      <c r="H573">
        <v>3</v>
      </c>
      <c r="I573" t="s">
        <v>25</v>
      </c>
      <c r="J573">
        <v>2</v>
      </c>
      <c r="K573" t="s">
        <v>52</v>
      </c>
      <c r="L573">
        <v>38</v>
      </c>
      <c r="M573" t="s">
        <v>27</v>
      </c>
      <c r="N573" t="s">
        <v>28</v>
      </c>
      <c r="O573">
        <v>1</v>
      </c>
      <c r="P573" t="s">
        <v>29</v>
      </c>
      <c r="Q573">
        <v>1</v>
      </c>
      <c r="R573" t="s">
        <v>27</v>
      </c>
      <c r="S573" t="s">
        <v>30</v>
      </c>
      <c r="T573" t="s">
        <v>31</v>
      </c>
    </row>
    <row r="574" spans="1:20" x14ac:dyDescent="0.35">
      <c r="A574" t="s">
        <v>632</v>
      </c>
      <c r="B574">
        <v>24</v>
      </c>
      <c r="C574" t="s">
        <v>33</v>
      </c>
      <c r="D574" t="s">
        <v>51</v>
      </c>
      <c r="E574">
        <v>597630</v>
      </c>
      <c r="F574" s="1" t="s">
        <v>23</v>
      </c>
      <c r="G574" t="s">
        <v>57</v>
      </c>
      <c r="H574">
        <v>2</v>
      </c>
      <c r="I574" t="s">
        <v>35</v>
      </c>
      <c r="J574">
        <v>4</v>
      </c>
      <c r="K574" t="s">
        <v>42</v>
      </c>
      <c r="L574">
        <v>26</v>
      </c>
      <c r="M574" t="s">
        <v>27</v>
      </c>
      <c r="N574" t="s">
        <v>53</v>
      </c>
      <c r="O574">
        <v>1</v>
      </c>
      <c r="P574" t="s">
        <v>54</v>
      </c>
      <c r="Q574">
        <v>1</v>
      </c>
      <c r="R574" t="s">
        <v>30</v>
      </c>
      <c r="S574" t="s">
        <v>30</v>
      </c>
      <c r="T574" t="s">
        <v>31</v>
      </c>
    </row>
    <row r="575" spans="1:20" x14ac:dyDescent="0.35">
      <c r="A575" t="s">
        <v>633</v>
      </c>
      <c r="B575">
        <v>15</v>
      </c>
      <c r="C575" t="s">
        <v>33</v>
      </c>
      <c r="D575" t="s">
        <v>61</v>
      </c>
      <c r="E575">
        <v>88660</v>
      </c>
      <c r="F575" s="2" t="s">
        <v>1060</v>
      </c>
      <c r="G575" t="s">
        <v>34</v>
      </c>
      <c r="H575">
        <v>4</v>
      </c>
      <c r="I575" t="s">
        <v>35</v>
      </c>
      <c r="J575">
        <v>4</v>
      </c>
      <c r="K575" t="s">
        <v>42</v>
      </c>
      <c r="L575">
        <v>22</v>
      </c>
      <c r="M575" t="s">
        <v>27</v>
      </c>
      <c r="N575" t="s">
        <v>28</v>
      </c>
      <c r="O575">
        <v>1</v>
      </c>
      <c r="P575" t="s">
        <v>39</v>
      </c>
      <c r="Q575">
        <v>1</v>
      </c>
      <c r="R575" t="s">
        <v>27</v>
      </c>
      <c r="S575" t="s">
        <v>30</v>
      </c>
      <c r="T575" t="s">
        <v>31</v>
      </c>
    </row>
    <row r="576" spans="1:20" x14ac:dyDescent="0.35">
      <c r="A576" t="s">
        <v>634</v>
      </c>
      <c r="B576">
        <v>9</v>
      </c>
      <c r="C576" t="s">
        <v>33</v>
      </c>
      <c r="D576" t="s">
        <v>22</v>
      </c>
      <c r="E576">
        <v>119020</v>
      </c>
      <c r="F576" s="1" t="s">
        <v>1060</v>
      </c>
      <c r="G576" t="s">
        <v>24</v>
      </c>
      <c r="H576">
        <v>4</v>
      </c>
      <c r="I576" t="s">
        <v>25</v>
      </c>
      <c r="J576">
        <v>4</v>
      </c>
      <c r="K576" t="s">
        <v>52</v>
      </c>
      <c r="L576">
        <v>27</v>
      </c>
      <c r="M576" t="s">
        <v>27</v>
      </c>
      <c r="N576" t="s">
        <v>28</v>
      </c>
      <c r="O576">
        <v>2</v>
      </c>
      <c r="P576" t="s">
        <v>39</v>
      </c>
      <c r="Q576">
        <v>1</v>
      </c>
      <c r="R576" t="s">
        <v>27</v>
      </c>
      <c r="S576" t="s">
        <v>30</v>
      </c>
      <c r="T576" t="s">
        <v>31</v>
      </c>
    </row>
    <row r="577" spans="1:20" x14ac:dyDescent="0.35">
      <c r="A577" t="s">
        <v>635</v>
      </c>
      <c r="B577">
        <v>15</v>
      </c>
      <c r="C577" t="s">
        <v>21</v>
      </c>
      <c r="D577" t="s">
        <v>41</v>
      </c>
      <c r="E577">
        <v>306680</v>
      </c>
      <c r="F577" s="2" t="s">
        <v>1060</v>
      </c>
      <c r="G577" t="s">
        <v>38</v>
      </c>
      <c r="H577">
        <v>2</v>
      </c>
      <c r="I577" t="s">
        <v>35</v>
      </c>
      <c r="J577">
        <v>3</v>
      </c>
      <c r="K577" t="s">
        <v>52</v>
      </c>
      <c r="L577">
        <v>24</v>
      </c>
      <c r="M577" t="s">
        <v>69</v>
      </c>
      <c r="N577" t="s">
        <v>28</v>
      </c>
      <c r="O577">
        <v>2</v>
      </c>
      <c r="P577" t="s">
        <v>29</v>
      </c>
      <c r="Q577">
        <v>1</v>
      </c>
      <c r="R577" t="s">
        <v>27</v>
      </c>
      <c r="S577" t="s">
        <v>30</v>
      </c>
      <c r="T577" t="s">
        <v>31</v>
      </c>
    </row>
    <row r="578" spans="1:20" x14ac:dyDescent="0.35">
      <c r="A578" t="s">
        <v>636</v>
      </c>
      <c r="B578">
        <v>12</v>
      </c>
      <c r="C578" t="s">
        <v>33</v>
      </c>
      <c r="D578" t="s">
        <v>22</v>
      </c>
      <c r="E578">
        <v>322300</v>
      </c>
      <c r="F578" s="1" t="s">
        <v>1060</v>
      </c>
      <c r="G578" t="s">
        <v>38</v>
      </c>
      <c r="H578">
        <v>2</v>
      </c>
      <c r="I578" t="s">
        <v>35</v>
      </c>
      <c r="J578">
        <v>1</v>
      </c>
      <c r="K578" t="s">
        <v>26</v>
      </c>
      <c r="L578">
        <v>27</v>
      </c>
      <c r="M578" t="s">
        <v>27</v>
      </c>
      <c r="N578" t="s">
        <v>28</v>
      </c>
      <c r="O578">
        <v>1</v>
      </c>
      <c r="P578" t="s">
        <v>29</v>
      </c>
      <c r="Q578">
        <v>1</v>
      </c>
      <c r="R578" t="s">
        <v>27</v>
      </c>
      <c r="S578" t="s">
        <v>30</v>
      </c>
      <c r="T578" t="s">
        <v>31</v>
      </c>
    </row>
    <row r="579" spans="1:20" x14ac:dyDescent="0.35">
      <c r="A579" t="s">
        <v>637</v>
      </c>
      <c r="B579">
        <v>24</v>
      </c>
      <c r="C579" t="s">
        <v>21</v>
      </c>
      <c r="D579" t="s">
        <v>37</v>
      </c>
      <c r="E579">
        <v>211970</v>
      </c>
      <c r="F579" s="2" t="s">
        <v>23</v>
      </c>
      <c r="G579" t="s">
        <v>34</v>
      </c>
      <c r="H579">
        <v>3</v>
      </c>
      <c r="I579" t="s">
        <v>35</v>
      </c>
      <c r="J579">
        <v>2</v>
      </c>
      <c r="K579" t="s">
        <v>52</v>
      </c>
      <c r="L579">
        <v>33</v>
      </c>
      <c r="M579" t="s">
        <v>27</v>
      </c>
      <c r="N579" t="s">
        <v>28</v>
      </c>
      <c r="O579">
        <v>2</v>
      </c>
      <c r="P579" t="s">
        <v>29</v>
      </c>
      <c r="Q579">
        <v>1</v>
      </c>
      <c r="R579" t="s">
        <v>30</v>
      </c>
      <c r="S579" t="s">
        <v>30</v>
      </c>
      <c r="T579" t="s">
        <v>31</v>
      </c>
    </row>
    <row r="580" spans="1:20" x14ac:dyDescent="0.35">
      <c r="A580" t="s">
        <v>638</v>
      </c>
      <c r="B580">
        <v>36</v>
      </c>
      <c r="C580" t="s">
        <v>21</v>
      </c>
      <c r="D580" t="s">
        <v>46</v>
      </c>
      <c r="E580">
        <v>310200</v>
      </c>
      <c r="F580" s="1" t="s">
        <v>1060</v>
      </c>
      <c r="G580" t="s">
        <v>59</v>
      </c>
      <c r="H580">
        <v>4</v>
      </c>
      <c r="I580" t="s">
        <v>25</v>
      </c>
      <c r="J580">
        <v>4</v>
      </c>
      <c r="K580" t="s">
        <v>52</v>
      </c>
      <c r="L580">
        <v>27</v>
      </c>
      <c r="M580" t="s">
        <v>27</v>
      </c>
      <c r="N580" t="s">
        <v>28</v>
      </c>
      <c r="O580">
        <v>2</v>
      </c>
      <c r="P580" t="s">
        <v>29</v>
      </c>
      <c r="Q580">
        <v>1</v>
      </c>
      <c r="R580" t="s">
        <v>27</v>
      </c>
      <c r="S580" t="s">
        <v>30</v>
      </c>
      <c r="T580" t="s">
        <v>31</v>
      </c>
    </row>
    <row r="581" spans="1:20" x14ac:dyDescent="0.35">
      <c r="A581" t="s">
        <v>639</v>
      </c>
      <c r="B581">
        <v>24</v>
      </c>
      <c r="C581" t="s">
        <v>33</v>
      </c>
      <c r="D581" t="s">
        <v>217</v>
      </c>
      <c r="E581">
        <v>103070</v>
      </c>
      <c r="F581" s="2" t="s">
        <v>1060</v>
      </c>
      <c r="G581" t="s">
        <v>59</v>
      </c>
      <c r="H581">
        <v>4</v>
      </c>
      <c r="I581" t="s">
        <v>25</v>
      </c>
      <c r="J581">
        <v>3</v>
      </c>
      <c r="K581" t="s">
        <v>52</v>
      </c>
      <c r="L581">
        <v>27</v>
      </c>
      <c r="M581" t="s">
        <v>27</v>
      </c>
      <c r="N581" t="s">
        <v>28</v>
      </c>
      <c r="O581">
        <v>2</v>
      </c>
      <c r="P581" t="s">
        <v>39</v>
      </c>
      <c r="Q581">
        <v>1</v>
      </c>
      <c r="R581" t="s">
        <v>27</v>
      </c>
      <c r="S581" t="s">
        <v>30</v>
      </c>
      <c r="T581" t="s">
        <v>31</v>
      </c>
    </row>
    <row r="582" spans="1:20" x14ac:dyDescent="0.35">
      <c r="A582" t="s">
        <v>640</v>
      </c>
      <c r="B582">
        <v>18</v>
      </c>
      <c r="C582" t="s">
        <v>21</v>
      </c>
      <c r="D582" t="s">
        <v>46</v>
      </c>
      <c r="E582">
        <v>116160</v>
      </c>
      <c r="F582" s="1" t="s">
        <v>1060</v>
      </c>
      <c r="G582" t="s">
        <v>24</v>
      </c>
      <c r="H582">
        <v>3</v>
      </c>
      <c r="I582" t="s">
        <v>25</v>
      </c>
      <c r="J582">
        <v>3</v>
      </c>
      <c r="K582" t="s">
        <v>26</v>
      </c>
      <c r="L582">
        <v>30</v>
      </c>
      <c r="M582" t="s">
        <v>69</v>
      </c>
      <c r="N582" t="s">
        <v>28</v>
      </c>
      <c r="O582">
        <v>2</v>
      </c>
      <c r="P582" t="s">
        <v>29</v>
      </c>
      <c r="Q582">
        <v>1</v>
      </c>
      <c r="R582" t="s">
        <v>27</v>
      </c>
      <c r="S582" t="s">
        <v>30</v>
      </c>
      <c r="T582" t="s">
        <v>31</v>
      </c>
    </row>
    <row r="583" spans="1:20" x14ac:dyDescent="0.35">
      <c r="A583" t="s">
        <v>641</v>
      </c>
      <c r="B583">
        <v>12</v>
      </c>
      <c r="C583" t="s">
        <v>21</v>
      </c>
      <c r="D583" t="s">
        <v>46</v>
      </c>
      <c r="E583">
        <v>343640</v>
      </c>
      <c r="F583" s="2" t="s">
        <v>1060</v>
      </c>
      <c r="G583" t="s">
        <v>59</v>
      </c>
      <c r="H583">
        <v>1</v>
      </c>
      <c r="I583" t="s">
        <v>25</v>
      </c>
      <c r="J583">
        <v>3</v>
      </c>
      <c r="K583" t="s">
        <v>26</v>
      </c>
      <c r="L583">
        <v>49</v>
      </c>
      <c r="M583" t="s">
        <v>69</v>
      </c>
      <c r="N583" t="s">
        <v>28</v>
      </c>
      <c r="O583">
        <v>2</v>
      </c>
      <c r="P583" t="s">
        <v>39</v>
      </c>
      <c r="Q583">
        <v>2</v>
      </c>
      <c r="R583" t="s">
        <v>27</v>
      </c>
      <c r="S583" t="s">
        <v>30</v>
      </c>
      <c r="T583" t="s">
        <v>31</v>
      </c>
    </row>
    <row r="584" spans="1:20" x14ac:dyDescent="0.35">
      <c r="A584" t="s">
        <v>642</v>
      </c>
      <c r="B584">
        <v>9</v>
      </c>
      <c r="C584" t="s">
        <v>33</v>
      </c>
      <c r="D584" t="s">
        <v>41</v>
      </c>
      <c r="E584">
        <v>152680</v>
      </c>
      <c r="F584" s="1" t="s">
        <v>1060</v>
      </c>
      <c r="G584" t="s">
        <v>34</v>
      </c>
      <c r="H584">
        <v>4</v>
      </c>
      <c r="I584" t="s">
        <v>35</v>
      </c>
      <c r="J584">
        <v>2</v>
      </c>
      <c r="K584" t="s">
        <v>26</v>
      </c>
      <c r="L584">
        <v>26</v>
      </c>
      <c r="M584" t="s">
        <v>27</v>
      </c>
      <c r="N584" t="s">
        <v>53</v>
      </c>
      <c r="O584">
        <v>1</v>
      </c>
      <c r="P584" t="s">
        <v>29</v>
      </c>
      <c r="Q584">
        <v>1</v>
      </c>
      <c r="R584" t="s">
        <v>27</v>
      </c>
      <c r="S584" t="s">
        <v>30</v>
      </c>
      <c r="T584" t="s">
        <v>31</v>
      </c>
    </row>
    <row r="585" spans="1:20" x14ac:dyDescent="0.35">
      <c r="A585" t="s">
        <v>643</v>
      </c>
      <c r="B585">
        <v>36</v>
      </c>
      <c r="C585" t="s">
        <v>33</v>
      </c>
      <c r="D585" t="s">
        <v>99</v>
      </c>
      <c r="E585">
        <v>262240</v>
      </c>
      <c r="F585" s="2" t="s">
        <v>1060</v>
      </c>
      <c r="G585" t="s">
        <v>59</v>
      </c>
      <c r="H585">
        <v>4</v>
      </c>
      <c r="I585" t="s">
        <v>25</v>
      </c>
      <c r="J585">
        <v>1</v>
      </c>
      <c r="K585" t="s">
        <v>47</v>
      </c>
      <c r="L585">
        <v>33</v>
      </c>
      <c r="M585" t="s">
        <v>27</v>
      </c>
      <c r="N585" t="s">
        <v>53</v>
      </c>
      <c r="O585">
        <v>1</v>
      </c>
      <c r="P585" t="s">
        <v>39</v>
      </c>
      <c r="Q585">
        <v>1</v>
      </c>
      <c r="R585" t="s">
        <v>27</v>
      </c>
      <c r="S585" t="s">
        <v>30</v>
      </c>
      <c r="T585" t="s">
        <v>31</v>
      </c>
    </row>
    <row r="586" spans="1:20" x14ac:dyDescent="0.35">
      <c r="A586" t="s">
        <v>644</v>
      </c>
      <c r="B586">
        <v>12</v>
      </c>
      <c r="C586" t="s">
        <v>33</v>
      </c>
      <c r="D586" t="s">
        <v>46</v>
      </c>
      <c r="E586">
        <v>234630</v>
      </c>
      <c r="F586" s="1" t="s">
        <v>23</v>
      </c>
      <c r="G586" t="s">
        <v>24</v>
      </c>
      <c r="H586">
        <v>4</v>
      </c>
      <c r="I586" t="s">
        <v>35</v>
      </c>
      <c r="J586">
        <v>4</v>
      </c>
      <c r="K586" t="s">
        <v>47</v>
      </c>
      <c r="L586">
        <v>52</v>
      </c>
      <c r="M586" t="s">
        <v>27</v>
      </c>
      <c r="N586" t="s">
        <v>43</v>
      </c>
      <c r="O586">
        <v>1</v>
      </c>
      <c r="P586" t="s">
        <v>54</v>
      </c>
      <c r="Q586">
        <v>1</v>
      </c>
      <c r="R586" t="s">
        <v>30</v>
      </c>
      <c r="S586" t="s">
        <v>30</v>
      </c>
      <c r="T586" t="s">
        <v>31</v>
      </c>
    </row>
    <row r="587" spans="1:20" x14ac:dyDescent="0.35">
      <c r="A587" t="s">
        <v>645</v>
      </c>
      <c r="B587">
        <v>18</v>
      </c>
      <c r="C587" t="s">
        <v>33</v>
      </c>
      <c r="D587" t="s">
        <v>41</v>
      </c>
      <c r="E587">
        <v>224290</v>
      </c>
      <c r="F587" s="2" t="s">
        <v>1060</v>
      </c>
      <c r="G587" t="s">
        <v>34</v>
      </c>
      <c r="H587">
        <v>1</v>
      </c>
      <c r="I587" t="s">
        <v>35</v>
      </c>
      <c r="J587">
        <v>4</v>
      </c>
      <c r="K587" t="s">
        <v>26</v>
      </c>
      <c r="L587">
        <v>20</v>
      </c>
      <c r="M587" t="s">
        <v>69</v>
      </c>
      <c r="N587" t="s">
        <v>53</v>
      </c>
      <c r="O587">
        <v>1</v>
      </c>
      <c r="P587" t="s">
        <v>29</v>
      </c>
      <c r="Q587">
        <v>1</v>
      </c>
      <c r="R587" t="s">
        <v>27</v>
      </c>
      <c r="S587" t="s">
        <v>30</v>
      </c>
      <c r="T587" t="s">
        <v>31</v>
      </c>
    </row>
    <row r="588" spans="1:20" x14ac:dyDescent="0.35">
      <c r="A588" t="s">
        <v>646</v>
      </c>
      <c r="B588">
        <v>9</v>
      </c>
      <c r="C588" t="s">
        <v>21</v>
      </c>
      <c r="D588" t="s">
        <v>46</v>
      </c>
      <c r="E588">
        <v>307890</v>
      </c>
      <c r="F588" s="1" t="s">
        <v>1060</v>
      </c>
      <c r="G588" t="s">
        <v>34</v>
      </c>
      <c r="H588">
        <v>2</v>
      </c>
      <c r="I588" t="s">
        <v>25</v>
      </c>
      <c r="J588">
        <v>2</v>
      </c>
      <c r="K588" t="s">
        <v>26</v>
      </c>
      <c r="L588">
        <v>36</v>
      </c>
      <c r="M588" t="s">
        <v>27</v>
      </c>
      <c r="N588" t="s">
        <v>53</v>
      </c>
      <c r="O588">
        <v>2</v>
      </c>
      <c r="P588" t="s">
        <v>29</v>
      </c>
      <c r="Q588">
        <v>2</v>
      </c>
      <c r="R588" t="s">
        <v>27</v>
      </c>
      <c r="S588" t="s">
        <v>30</v>
      </c>
      <c r="T588" t="s">
        <v>31</v>
      </c>
    </row>
    <row r="589" spans="1:20" x14ac:dyDescent="0.35">
      <c r="A589" t="s">
        <v>647</v>
      </c>
      <c r="B589">
        <v>12</v>
      </c>
      <c r="C589" t="s">
        <v>33</v>
      </c>
      <c r="D589" t="s">
        <v>41</v>
      </c>
      <c r="E589">
        <v>141790</v>
      </c>
      <c r="F589" s="2" t="s">
        <v>1060</v>
      </c>
      <c r="G589" t="s">
        <v>34</v>
      </c>
      <c r="H589">
        <v>4</v>
      </c>
      <c r="I589" t="s">
        <v>25</v>
      </c>
      <c r="J589">
        <v>1</v>
      </c>
      <c r="K589" t="s">
        <v>42</v>
      </c>
      <c r="L589">
        <v>21</v>
      </c>
      <c r="M589" t="s">
        <v>27</v>
      </c>
      <c r="N589" t="s">
        <v>28</v>
      </c>
      <c r="O589">
        <v>1</v>
      </c>
      <c r="P589" t="s">
        <v>39</v>
      </c>
      <c r="Q589">
        <v>1</v>
      </c>
      <c r="R589" t="s">
        <v>27</v>
      </c>
      <c r="S589" t="s">
        <v>30</v>
      </c>
      <c r="T589" t="s">
        <v>31</v>
      </c>
    </row>
    <row r="590" spans="1:20" x14ac:dyDescent="0.35">
      <c r="A590" t="s">
        <v>648</v>
      </c>
      <c r="B590">
        <v>18</v>
      </c>
      <c r="C590" t="s">
        <v>33</v>
      </c>
      <c r="D590" t="s">
        <v>94</v>
      </c>
      <c r="E590">
        <v>133870</v>
      </c>
      <c r="F590" s="1" t="s">
        <v>1060</v>
      </c>
      <c r="G590" t="s">
        <v>34</v>
      </c>
      <c r="H590">
        <v>4</v>
      </c>
      <c r="I590" t="s">
        <v>25</v>
      </c>
      <c r="J590">
        <v>3</v>
      </c>
      <c r="K590" t="s">
        <v>26</v>
      </c>
      <c r="L590">
        <v>47</v>
      </c>
      <c r="M590" t="s">
        <v>27</v>
      </c>
      <c r="N590" t="s">
        <v>28</v>
      </c>
      <c r="O590">
        <v>1</v>
      </c>
      <c r="P590" t="s">
        <v>39</v>
      </c>
      <c r="Q590">
        <v>1</v>
      </c>
      <c r="R590" t="s">
        <v>30</v>
      </c>
      <c r="S590" t="s">
        <v>30</v>
      </c>
      <c r="T590" t="s">
        <v>31</v>
      </c>
    </row>
    <row r="591" spans="1:20" x14ac:dyDescent="0.35">
      <c r="A591" t="s">
        <v>649</v>
      </c>
      <c r="B591">
        <v>12</v>
      </c>
      <c r="C591" t="s">
        <v>21</v>
      </c>
      <c r="D591" t="s">
        <v>41</v>
      </c>
      <c r="E591">
        <v>247060</v>
      </c>
      <c r="F591" s="2" t="s">
        <v>1060</v>
      </c>
      <c r="G591" t="s">
        <v>24</v>
      </c>
      <c r="H591">
        <v>3</v>
      </c>
      <c r="I591" t="s">
        <v>25</v>
      </c>
      <c r="J591">
        <v>3</v>
      </c>
      <c r="K591" t="s">
        <v>42</v>
      </c>
      <c r="L591">
        <v>60</v>
      </c>
      <c r="M591" t="s">
        <v>27</v>
      </c>
      <c r="N591" t="s">
        <v>28</v>
      </c>
      <c r="O591">
        <v>2</v>
      </c>
      <c r="P591" t="s">
        <v>29</v>
      </c>
      <c r="Q591">
        <v>1</v>
      </c>
      <c r="R591" t="s">
        <v>27</v>
      </c>
      <c r="S591" t="s">
        <v>30</v>
      </c>
      <c r="T591" t="s">
        <v>31</v>
      </c>
    </row>
    <row r="592" spans="1:20" x14ac:dyDescent="0.35">
      <c r="A592" t="s">
        <v>650</v>
      </c>
      <c r="B592">
        <v>12</v>
      </c>
      <c r="C592" t="s">
        <v>21</v>
      </c>
      <c r="D592" t="s">
        <v>22</v>
      </c>
      <c r="E592">
        <v>42350</v>
      </c>
      <c r="F592" s="1" t="s">
        <v>1060</v>
      </c>
      <c r="G592" t="s">
        <v>38</v>
      </c>
      <c r="H592">
        <v>4</v>
      </c>
      <c r="I592" t="s">
        <v>35</v>
      </c>
      <c r="J592">
        <v>3</v>
      </c>
      <c r="K592" t="s">
        <v>26</v>
      </c>
      <c r="L592">
        <v>58</v>
      </c>
      <c r="M592" t="s">
        <v>27</v>
      </c>
      <c r="N592" t="s">
        <v>28</v>
      </c>
      <c r="O592">
        <v>4</v>
      </c>
      <c r="P592" t="s">
        <v>39</v>
      </c>
      <c r="Q592">
        <v>1</v>
      </c>
      <c r="R592" t="s">
        <v>30</v>
      </c>
      <c r="S592" t="s">
        <v>30</v>
      </c>
      <c r="T592" t="s">
        <v>31</v>
      </c>
    </row>
    <row r="593" spans="1:20" x14ac:dyDescent="0.35">
      <c r="A593" t="s">
        <v>651</v>
      </c>
      <c r="B593">
        <v>24</v>
      </c>
      <c r="C593" t="s">
        <v>45</v>
      </c>
      <c r="D593" t="s">
        <v>46</v>
      </c>
      <c r="E593">
        <v>216150</v>
      </c>
      <c r="F593" s="2" t="s">
        <v>23</v>
      </c>
      <c r="G593" t="s">
        <v>34</v>
      </c>
      <c r="H593">
        <v>4</v>
      </c>
      <c r="I593" t="s">
        <v>35</v>
      </c>
      <c r="J593">
        <v>4</v>
      </c>
      <c r="K593" t="s">
        <v>52</v>
      </c>
      <c r="L593">
        <v>42</v>
      </c>
      <c r="M593" t="s">
        <v>27</v>
      </c>
      <c r="N593" t="s">
        <v>53</v>
      </c>
      <c r="O593">
        <v>2</v>
      </c>
      <c r="P593" t="s">
        <v>29</v>
      </c>
      <c r="Q593">
        <v>1</v>
      </c>
      <c r="R593" t="s">
        <v>30</v>
      </c>
      <c r="S593" t="s">
        <v>30</v>
      </c>
      <c r="T593" t="s">
        <v>31</v>
      </c>
    </row>
    <row r="594" spans="1:20" x14ac:dyDescent="0.35">
      <c r="A594" t="s">
        <v>652</v>
      </c>
      <c r="B594">
        <v>21</v>
      </c>
      <c r="C594" t="s">
        <v>33</v>
      </c>
      <c r="D594" t="s">
        <v>61</v>
      </c>
      <c r="E594">
        <v>172920</v>
      </c>
      <c r="F594" s="1" t="s">
        <v>1062</v>
      </c>
      <c r="G594" t="s">
        <v>24</v>
      </c>
      <c r="H594">
        <v>4</v>
      </c>
      <c r="I594" t="s">
        <v>35</v>
      </c>
      <c r="J594">
        <v>4</v>
      </c>
      <c r="K594" t="s">
        <v>26</v>
      </c>
      <c r="L594">
        <v>36</v>
      </c>
      <c r="M594" t="s">
        <v>69</v>
      </c>
      <c r="N594" t="s">
        <v>28</v>
      </c>
      <c r="O594">
        <v>1</v>
      </c>
      <c r="P594" t="s">
        <v>39</v>
      </c>
      <c r="Q594">
        <v>1</v>
      </c>
      <c r="R594" t="s">
        <v>27</v>
      </c>
      <c r="S594" t="s">
        <v>30</v>
      </c>
      <c r="T594" t="s">
        <v>31</v>
      </c>
    </row>
    <row r="595" spans="1:20" x14ac:dyDescent="0.35">
      <c r="A595" t="s">
        <v>653</v>
      </c>
      <c r="B595">
        <v>24</v>
      </c>
      <c r="C595" t="s">
        <v>33</v>
      </c>
      <c r="D595" t="s">
        <v>46</v>
      </c>
      <c r="E595">
        <v>298980</v>
      </c>
      <c r="F595" s="2" t="s">
        <v>1060</v>
      </c>
      <c r="G595" t="s">
        <v>34</v>
      </c>
      <c r="H595">
        <v>3</v>
      </c>
      <c r="I595" t="s">
        <v>35</v>
      </c>
      <c r="J595">
        <v>4</v>
      </c>
      <c r="K595" t="s">
        <v>42</v>
      </c>
      <c r="L595">
        <v>20</v>
      </c>
      <c r="M595" t="s">
        <v>27</v>
      </c>
      <c r="N595" t="s">
        <v>53</v>
      </c>
      <c r="O595">
        <v>1</v>
      </c>
      <c r="P595" t="s">
        <v>39</v>
      </c>
      <c r="Q595">
        <v>1</v>
      </c>
      <c r="R595" t="s">
        <v>30</v>
      </c>
      <c r="S595" t="s">
        <v>30</v>
      </c>
      <c r="T595" t="s">
        <v>31</v>
      </c>
    </row>
    <row r="596" spans="1:20" x14ac:dyDescent="0.35">
      <c r="A596" t="s">
        <v>654</v>
      </c>
      <c r="B596">
        <v>24</v>
      </c>
      <c r="C596" t="s">
        <v>81</v>
      </c>
      <c r="D596" t="s">
        <v>131</v>
      </c>
      <c r="E596">
        <v>149380</v>
      </c>
      <c r="F596" s="1" t="s">
        <v>23</v>
      </c>
      <c r="G596" t="s">
        <v>24</v>
      </c>
      <c r="H596">
        <v>4</v>
      </c>
      <c r="I596" t="s">
        <v>25</v>
      </c>
      <c r="J596">
        <v>3</v>
      </c>
      <c r="K596" t="s">
        <v>52</v>
      </c>
      <c r="L596">
        <v>40</v>
      </c>
      <c r="M596" t="s">
        <v>86</v>
      </c>
      <c r="N596" t="s">
        <v>28</v>
      </c>
      <c r="O596">
        <v>1</v>
      </c>
      <c r="P596" t="s">
        <v>54</v>
      </c>
      <c r="Q596">
        <v>1</v>
      </c>
      <c r="R596" t="s">
        <v>30</v>
      </c>
      <c r="S596" t="s">
        <v>30</v>
      </c>
      <c r="T596" t="s">
        <v>31</v>
      </c>
    </row>
    <row r="597" spans="1:20" x14ac:dyDescent="0.35">
      <c r="A597" t="s">
        <v>655</v>
      </c>
      <c r="B597">
        <v>6</v>
      </c>
      <c r="C597" t="s">
        <v>81</v>
      </c>
      <c r="D597" t="s">
        <v>46</v>
      </c>
      <c r="E597">
        <v>102410</v>
      </c>
      <c r="F597" s="2" t="s">
        <v>1063</v>
      </c>
      <c r="G597" t="s">
        <v>59</v>
      </c>
      <c r="H597">
        <v>1</v>
      </c>
      <c r="I597" t="s">
        <v>35</v>
      </c>
      <c r="J597">
        <v>1</v>
      </c>
      <c r="K597" t="s">
        <v>42</v>
      </c>
      <c r="L597">
        <v>32</v>
      </c>
      <c r="M597" t="s">
        <v>86</v>
      </c>
      <c r="N597" t="s">
        <v>28</v>
      </c>
      <c r="O597">
        <v>1</v>
      </c>
      <c r="P597" t="s">
        <v>39</v>
      </c>
      <c r="Q597">
        <v>1</v>
      </c>
      <c r="R597" t="s">
        <v>27</v>
      </c>
      <c r="S597" t="s">
        <v>30</v>
      </c>
      <c r="T597" t="s">
        <v>31</v>
      </c>
    </row>
    <row r="598" spans="1:20" x14ac:dyDescent="0.35">
      <c r="A598" t="s">
        <v>656</v>
      </c>
      <c r="B598">
        <v>24</v>
      </c>
      <c r="C598" t="s">
        <v>33</v>
      </c>
      <c r="D598" t="s">
        <v>46</v>
      </c>
      <c r="E598">
        <v>158620</v>
      </c>
      <c r="F598" s="1" t="s">
        <v>1060</v>
      </c>
      <c r="G598" t="s">
        <v>38</v>
      </c>
      <c r="H598">
        <v>4</v>
      </c>
      <c r="I598" t="s">
        <v>35</v>
      </c>
      <c r="J598">
        <v>4</v>
      </c>
      <c r="K598" t="s">
        <v>52</v>
      </c>
      <c r="L598">
        <v>23</v>
      </c>
      <c r="M598" t="s">
        <v>27</v>
      </c>
      <c r="N598" t="s">
        <v>53</v>
      </c>
      <c r="O598">
        <v>2</v>
      </c>
      <c r="P598" t="s">
        <v>29</v>
      </c>
      <c r="Q598">
        <v>1</v>
      </c>
      <c r="R598" t="s">
        <v>27</v>
      </c>
      <c r="S598" t="s">
        <v>30</v>
      </c>
      <c r="T598" t="s">
        <v>31</v>
      </c>
    </row>
    <row r="599" spans="1:20" x14ac:dyDescent="0.35">
      <c r="A599" t="s">
        <v>657</v>
      </c>
      <c r="B599">
        <v>24</v>
      </c>
      <c r="C599" t="s">
        <v>68</v>
      </c>
      <c r="D599" t="s">
        <v>61</v>
      </c>
      <c r="E599">
        <v>466510</v>
      </c>
      <c r="F599" s="2" t="s">
        <v>1060</v>
      </c>
      <c r="G599" t="s">
        <v>34</v>
      </c>
      <c r="H599">
        <v>1</v>
      </c>
      <c r="I599" t="s">
        <v>25</v>
      </c>
      <c r="J599">
        <v>4</v>
      </c>
      <c r="K599" t="s">
        <v>26</v>
      </c>
      <c r="L599">
        <v>36</v>
      </c>
      <c r="M599" t="s">
        <v>27</v>
      </c>
      <c r="N599" t="s">
        <v>28</v>
      </c>
      <c r="O599">
        <v>3</v>
      </c>
      <c r="P599" t="s">
        <v>39</v>
      </c>
      <c r="Q599">
        <v>1</v>
      </c>
      <c r="R599" t="s">
        <v>30</v>
      </c>
      <c r="S599" t="s">
        <v>30</v>
      </c>
      <c r="T599" t="s">
        <v>31</v>
      </c>
    </row>
    <row r="600" spans="1:20" x14ac:dyDescent="0.35">
      <c r="A600" t="s">
        <v>658</v>
      </c>
      <c r="B600">
        <v>18</v>
      </c>
      <c r="C600" t="s">
        <v>21</v>
      </c>
      <c r="D600" t="s">
        <v>46</v>
      </c>
      <c r="E600">
        <v>305250</v>
      </c>
      <c r="F600" s="1" t="s">
        <v>1060</v>
      </c>
      <c r="G600" t="s">
        <v>38</v>
      </c>
      <c r="H600">
        <v>2</v>
      </c>
      <c r="I600" t="s">
        <v>25</v>
      </c>
      <c r="J600">
        <v>2</v>
      </c>
      <c r="K600" t="s">
        <v>42</v>
      </c>
      <c r="L600">
        <v>31</v>
      </c>
      <c r="M600" t="s">
        <v>69</v>
      </c>
      <c r="N600" t="s">
        <v>28</v>
      </c>
      <c r="O600">
        <v>2</v>
      </c>
      <c r="P600" t="s">
        <v>29</v>
      </c>
      <c r="Q600">
        <v>1</v>
      </c>
      <c r="R600" t="s">
        <v>27</v>
      </c>
      <c r="S600" t="s">
        <v>30</v>
      </c>
      <c r="T600" t="s">
        <v>31</v>
      </c>
    </row>
    <row r="601" spans="1:20" x14ac:dyDescent="0.35">
      <c r="A601" t="s">
        <v>659</v>
      </c>
      <c r="B601">
        <v>24</v>
      </c>
      <c r="C601" t="s">
        <v>45</v>
      </c>
      <c r="D601" t="s">
        <v>61</v>
      </c>
      <c r="E601">
        <v>424930</v>
      </c>
      <c r="F601" s="2" t="s">
        <v>1060</v>
      </c>
      <c r="G601" t="s">
        <v>34</v>
      </c>
      <c r="H601">
        <v>1</v>
      </c>
      <c r="I601" t="s">
        <v>25</v>
      </c>
      <c r="J601">
        <v>2</v>
      </c>
      <c r="K601" t="s">
        <v>47</v>
      </c>
      <c r="L601">
        <v>32</v>
      </c>
      <c r="M601" t="s">
        <v>27</v>
      </c>
      <c r="N601" t="s">
        <v>43</v>
      </c>
      <c r="O601">
        <v>1</v>
      </c>
      <c r="P601" t="s">
        <v>29</v>
      </c>
      <c r="Q601">
        <v>1</v>
      </c>
      <c r="R601" t="s">
        <v>27</v>
      </c>
      <c r="S601" t="s">
        <v>30</v>
      </c>
      <c r="T601" t="s">
        <v>31</v>
      </c>
    </row>
    <row r="602" spans="1:20" x14ac:dyDescent="0.35">
      <c r="A602" t="s">
        <v>660</v>
      </c>
      <c r="B602">
        <v>7</v>
      </c>
      <c r="C602" t="s">
        <v>33</v>
      </c>
      <c r="D602" t="s">
        <v>22</v>
      </c>
      <c r="E602">
        <v>256190</v>
      </c>
      <c r="F602" s="1" t="s">
        <v>1060</v>
      </c>
      <c r="G602" t="s">
        <v>59</v>
      </c>
      <c r="H602">
        <v>1</v>
      </c>
      <c r="I602" t="s">
        <v>35</v>
      </c>
      <c r="J602">
        <v>1</v>
      </c>
      <c r="K602" t="s">
        <v>26</v>
      </c>
      <c r="L602">
        <v>45</v>
      </c>
      <c r="M602" t="s">
        <v>27</v>
      </c>
      <c r="N602" t="s">
        <v>28</v>
      </c>
      <c r="O602">
        <v>1</v>
      </c>
      <c r="P602" t="s">
        <v>29</v>
      </c>
      <c r="Q602">
        <v>1</v>
      </c>
      <c r="R602" t="s">
        <v>27</v>
      </c>
      <c r="S602" t="s">
        <v>30</v>
      </c>
      <c r="T602" t="s">
        <v>31</v>
      </c>
    </row>
    <row r="603" spans="1:20" x14ac:dyDescent="0.35">
      <c r="A603" t="s">
        <v>661</v>
      </c>
      <c r="B603">
        <v>9</v>
      </c>
      <c r="C603" t="s">
        <v>33</v>
      </c>
      <c r="D603" t="s">
        <v>41</v>
      </c>
      <c r="E603">
        <v>100980</v>
      </c>
      <c r="F603" s="2" t="s">
        <v>1060</v>
      </c>
      <c r="G603" t="s">
        <v>34</v>
      </c>
      <c r="H603">
        <v>4</v>
      </c>
      <c r="I603" t="s">
        <v>35</v>
      </c>
      <c r="J603">
        <v>1</v>
      </c>
      <c r="K603" t="s">
        <v>42</v>
      </c>
      <c r="L603">
        <v>30</v>
      </c>
      <c r="M603" t="s">
        <v>27</v>
      </c>
      <c r="N603" t="s">
        <v>28</v>
      </c>
      <c r="O603">
        <v>1</v>
      </c>
      <c r="P603" t="s">
        <v>29</v>
      </c>
      <c r="Q603">
        <v>1</v>
      </c>
      <c r="R603" t="s">
        <v>27</v>
      </c>
      <c r="S603" t="s">
        <v>30</v>
      </c>
      <c r="T603" t="s">
        <v>31</v>
      </c>
    </row>
    <row r="604" spans="1:20" x14ac:dyDescent="0.35">
      <c r="A604" t="s">
        <v>662</v>
      </c>
      <c r="B604">
        <v>24</v>
      </c>
      <c r="C604" t="s">
        <v>81</v>
      </c>
      <c r="D604" t="s">
        <v>37</v>
      </c>
      <c r="E604">
        <v>202070</v>
      </c>
      <c r="F604" s="1" t="s">
        <v>1060</v>
      </c>
      <c r="G604" t="s">
        <v>38</v>
      </c>
      <c r="H604">
        <v>4</v>
      </c>
      <c r="I604" t="s">
        <v>35</v>
      </c>
      <c r="J604">
        <v>4</v>
      </c>
      <c r="K604" t="s">
        <v>47</v>
      </c>
      <c r="L604">
        <v>34</v>
      </c>
      <c r="M604" t="s">
        <v>69</v>
      </c>
      <c r="N604" t="s">
        <v>43</v>
      </c>
      <c r="O604">
        <v>1</v>
      </c>
      <c r="P604" t="s">
        <v>39</v>
      </c>
      <c r="Q604">
        <v>1</v>
      </c>
      <c r="R604" t="s">
        <v>27</v>
      </c>
      <c r="S604" t="s">
        <v>30</v>
      </c>
      <c r="T604" t="s">
        <v>31</v>
      </c>
    </row>
    <row r="605" spans="1:20" x14ac:dyDescent="0.35">
      <c r="A605" t="s">
        <v>663</v>
      </c>
      <c r="B605">
        <v>36</v>
      </c>
      <c r="C605" t="s">
        <v>33</v>
      </c>
      <c r="D605" t="s">
        <v>41</v>
      </c>
      <c r="E605">
        <v>368390</v>
      </c>
      <c r="F605" s="2" t="s">
        <v>1060</v>
      </c>
      <c r="G605" t="s">
        <v>34</v>
      </c>
      <c r="H605">
        <v>4</v>
      </c>
      <c r="I605" t="s">
        <v>35</v>
      </c>
      <c r="J605">
        <v>2</v>
      </c>
      <c r="K605" t="s">
        <v>52</v>
      </c>
      <c r="L605">
        <v>28</v>
      </c>
      <c r="M605" t="s">
        <v>27</v>
      </c>
      <c r="N605" t="s">
        <v>28</v>
      </c>
      <c r="O605">
        <v>1</v>
      </c>
      <c r="P605" t="s">
        <v>54</v>
      </c>
      <c r="Q605">
        <v>1</v>
      </c>
      <c r="R605" t="s">
        <v>30</v>
      </c>
      <c r="S605" t="s">
        <v>30</v>
      </c>
      <c r="T605" t="s">
        <v>31</v>
      </c>
    </row>
    <row r="606" spans="1:20" x14ac:dyDescent="0.35">
      <c r="A606" t="s">
        <v>664</v>
      </c>
      <c r="B606">
        <v>10</v>
      </c>
      <c r="C606" t="s">
        <v>33</v>
      </c>
      <c r="D606" t="s">
        <v>41</v>
      </c>
      <c r="E606">
        <v>140250</v>
      </c>
      <c r="F606" s="1" t="s">
        <v>1060</v>
      </c>
      <c r="G606" t="s">
        <v>59</v>
      </c>
      <c r="H606">
        <v>4</v>
      </c>
      <c r="I606" t="s">
        <v>35</v>
      </c>
      <c r="J606">
        <v>2</v>
      </c>
      <c r="K606" t="s">
        <v>42</v>
      </c>
      <c r="L606">
        <v>23</v>
      </c>
      <c r="M606" t="s">
        <v>27</v>
      </c>
      <c r="N606" t="s">
        <v>28</v>
      </c>
      <c r="O606">
        <v>1</v>
      </c>
      <c r="P606" t="s">
        <v>29</v>
      </c>
      <c r="Q606">
        <v>1</v>
      </c>
      <c r="R606" t="s">
        <v>27</v>
      </c>
      <c r="S606" t="s">
        <v>30</v>
      </c>
      <c r="T606" t="s">
        <v>31</v>
      </c>
    </row>
    <row r="607" spans="1:20" x14ac:dyDescent="0.35">
      <c r="A607" t="s">
        <v>665</v>
      </c>
      <c r="B607">
        <v>24</v>
      </c>
      <c r="C607" t="s">
        <v>81</v>
      </c>
      <c r="D607" t="s">
        <v>41</v>
      </c>
      <c r="E607">
        <v>311080</v>
      </c>
      <c r="F607" s="2" t="s">
        <v>1061</v>
      </c>
      <c r="G607" t="s">
        <v>34</v>
      </c>
      <c r="H607">
        <v>4</v>
      </c>
      <c r="I607" t="s">
        <v>25</v>
      </c>
      <c r="J607">
        <v>4</v>
      </c>
      <c r="K607" t="s">
        <v>26</v>
      </c>
      <c r="L607">
        <v>22</v>
      </c>
      <c r="M607" t="s">
        <v>86</v>
      </c>
      <c r="N607" t="s">
        <v>28</v>
      </c>
      <c r="O607">
        <v>1</v>
      </c>
      <c r="P607" t="s">
        <v>29</v>
      </c>
      <c r="Q607">
        <v>1</v>
      </c>
      <c r="R607" t="s">
        <v>30</v>
      </c>
      <c r="S607" t="s">
        <v>30</v>
      </c>
      <c r="T607" t="s">
        <v>31</v>
      </c>
    </row>
    <row r="608" spans="1:20" x14ac:dyDescent="0.35">
      <c r="A608" t="s">
        <v>666</v>
      </c>
      <c r="B608">
        <v>24</v>
      </c>
      <c r="C608" t="s">
        <v>21</v>
      </c>
      <c r="D608" t="s">
        <v>61</v>
      </c>
      <c r="E608">
        <v>497860</v>
      </c>
      <c r="F608" s="1" t="s">
        <v>1060</v>
      </c>
      <c r="G608" t="s">
        <v>34</v>
      </c>
      <c r="H608">
        <v>3</v>
      </c>
      <c r="I608" t="s">
        <v>25</v>
      </c>
      <c r="J608">
        <v>2</v>
      </c>
      <c r="K608" t="s">
        <v>26</v>
      </c>
      <c r="L608">
        <v>74</v>
      </c>
      <c r="M608" t="s">
        <v>27</v>
      </c>
      <c r="N608" t="s">
        <v>28</v>
      </c>
      <c r="O608">
        <v>1</v>
      </c>
      <c r="P608" t="s">
        <v>54</v>
      </c>
      <c r="Q608">
        <v>1</v>
      </c>
      <c r="R608" t="s">
        <v>30</v>
      </c>
      <c r="S608" t="s">
        <v>30</v>
      </c>
      <c r="T608" t="s">
        <v>31</v>
      </c>
    </row>
    <row r="609" spans="1:20" x14ac:dyDescent="0.35">
      <c r="A609" t="s">
        <v>667</v>
      </c>
      <c r="B609">
        <v>36</v>
      </c>
      <c r="C609" t="s">
        <v>33</v>
      </c>
      <c r="D609" t="s">
        <v>22</v>
      </c>
      <c r="E609">
        <v>293810</v>
      </c>
      <c r="F609" s="2" t="s">
        <v>1063</v>
      </c>
      <c r="G609" t="s">
        <v>34</v>
      </c>
      <c r="H609">
        <v>4</v>
      </c>
      <c r="I609" t="s">
        <v>35</v>
      </c>
      <c r="J609">
        <v>4</v>
      </c>
      <c r="K609" t="s">
        <v>47</v>
      </c>
      <c r="L609">
        <v>50</v>
      </c>
      <c r="M609" t="s">
        <v>27</v>
      </c>
      <c r="N609" t="s">
        <v>43</v>
      </c>
      <c r="O609">
        <v>1</v>
      </c>
      <c r="P609" t="s">
        <v>29</v>
      </c>
      <c r="Q609">
        <v>1</v>
      </c>
      <c r="R609" t="s">
        <v>27</v>
      </c>
      <c r="S609" t="s">
        <v>30</v>
      </c>
      <c r="T609" t="s">
        <v>31</v>
      </c>
    </row>
    <row r="610" spans="1:20" x14ac:dyDescent="0.35">
      <c r="A610" t="s">
        <v>668</v>
      </c>
      <c r="B610">
        <v>18</v>
      </c>
      <c r="C610" t="s">
        <v>33</v>
      </c>
      <c r="D610" t="s">
        <v>22</v>
      </c>
      <c r="E610">
        <v>225610</v>
      </c>
      <c r="F610" s="1" t="s">
        <v>1060</v>
      </c>
      <c r="G610" t="s">
        <v>59</v>
      </c>
      <c r="H610">
        <v>4</v>
      </c>
      <c r="I610" t="s">
        <v>25</v>
      </c>
      <c r="J610">
        <v>1</v>
      </c>
      <c r="K610" t="s">
        <v>26</v>
      </c>
      <c r="L610">
        <v>33</v>
      </c>
      <c r="M610" t="s">
        <v>27</v>
      </c>
      <c r="N610" t="s">
        <v>28</v>
      </c>
      <c r="O610">
        <v>1</v>
      </c>
      <c r="P610" t="s">
        <v>29</v>
      </c>
      <c r="Q610">
        <v>1</v>
      </c>
      <c r="R610" t="s">
        <v>27</v>
      </c>
      <c r="S610" t="s">
        <v>30</v>
      </c>
      <c r="T610" t="s">
        <v>31</v>
      </c>
    </row>
    <row r="611" spans="1:20" x14ac:dyDescent="0.35">
      <c r="A611" t="s">
        <v>669</v>
      </c>
      <c r="B611">
        <v>15</v>
      </c>
      <c r="C611" t="s">
        <v>33</v>
      </c>
      <c r="D611" t="s">
        <v>51</v>
      </c>
      <c r="E611">
        <v>143000</v>
      </c>
      <c r="F611" s="2" t="s">
        <v>23</v>
      </c>
      <c r="G611" t="s">
        <v>24</v>
      </c>
      <c r="H611">
        <v>4</v>
      </c>
      <c r="I611" t="s">
        <v>25</v>
      </c>
      <c r="J611">
        <v>4</v>
      </c>
      <c r="K611" t="s">
        <v>47</v>
      </c>
      <c r="L611">
        <v>45</v>
      </c>
      <c r="M611" t="s">
        <v>69</v>
      </c>
      <c r="N611" t="s">
        <v>43</v>
      </c>
      <c r="O611">
        <v>1</v>
      </c>
      <c r="P611" t="s">
        <v>29</v>
      </c>
      <c r="Q611">
        <v>2</v>
      </c>
      <c r="R611" t="s">
        <v>27</v>
      </c>
      <c r="S611" t="s">
        <v>30</v>
      </c>
      <c r="T611" t="s">
        <v>31</v>
      </c>
    </row>
    <row r="612" spans="1:20" x14ac:dyDescent="0.35">
      <c r="A612" t="s">
        <v>670</v>
      </c>
      <c r="B612">
        <v>12</v>
      </c>
      <c r="C612" t="s">
        <v>33</v>
      </c>
      <c r="D612" t="s">
        <v>94</v>
      </c>
      <c r="E612">
        <v>81510</v>
      </c>
      <c r="F612" s="1" t="s">
        <v>1063</v>
      </c>
      <c r="G612" t="s">
        <v>57</v>
      </c>
      <c r="H612">
        <v>4</v>
      </c>
      <c r="I612" t="s">
        <v>35</v>
      </c>
      <c r="J612">
        <v>3</v>
      </c>
      <c r="K612" t="s">
        <v>42</v>
      </c>
      <c r="L612">
        <v>22</v>
      </c>
      <c r="M612" t="s">
        <v>27</v>
      </c>
      <c r="N612" t="s">
        <v>28</v>
      </c>
      <c r="O612">
        <v>1</v>
      </c>
      <c r="P612" t="s">
        <v>29</v>
      </c>
      <c r="Q612">
        <v>1</v>
      </c>
      <c r="R612" t="s">
        <v>27</v>
      </c>
      <c r="S612" t="s">
        <v>30</v>
      </c>
      <c r="T612" t="s">
        <v>31</v>
      </c>
    </row>
    <row r="613" spans="1:20" x14ac:dyDescent="0.35">
      <c r="A613" t="s">
        <v>671</v>
      </c>
      <c r="B613">
        <v>10</v>
      </c>
      <c r="C613" t="s">
        <v>33</v>
      </c>
      <c r="D613" t="s">
        <v>46</v>
      </c>
      <c r="E613">
        <v>136400</v>
      </c>
      <c r="F613" s="2" t="s">
        <v>1063</v>
      </c>
      <c r="G613" t="s">
        <v>24</v>
      </c>
      <c r="H613">
        <v>1</v>
      </c>
      <c r="I613" t="s">
        <v>35</v>
      </c>
      <c r="J613">
        <v>4</v>
      </c>
      <c r="K613" t="s">
        <v>47</v>
      </c>
      <c r="L613">
        <v>48</v>
      </c>
      <c r="M613" t="s">
        <v>27</v>
      </c>
      <c r="N613" t="s">
        <v>43</v>
      </c>
      <c r="O613">
        <v>1</v>
      </c>
      <c r="P613" t="s">
        <v>39</v>
      </c>
      <c r="Q613">
        <v>2</v>
      </c>
      <c r="R613" t="s">
        <v>27</v>
      </c>
      <c r="S613" t="s">
        <v>30</v>
      </c>
      <c r="T613" t="s">
        <v>31</v>
      </c>
    </row>
    <row r="614" spans="1:20" x14ac:dyDescent="0.35">
      <c r="A614" t="s">
        <v>672</v>
      </c>
      <c r="B614">
        <v>21</v>
      </c>
      <c r="C614" t="s">
        <v>33</v>
      </c>
      <c r="D614" t="s">
        <v>22</v>
      </c>
      <c r="E614">
        <v>369270</v>
      </c>
      <c r="F614" s="1" t="s">
        <v>1062</v>
      </c>
      <c r="G614" t="s">
        <v>59</v>
      </c>
      <c r="H614">
        <v>4</v>
      </c>
      <c r="I614" t="s">
        <v>35</v>
      </c>
      <c r="J614">
        <v>2</v>
      </c>
      <c r="K614" t="s">
        <v>52</v>
      </c>
      <c r="L614">
        <v>29</v>
      </c>
      <c r="M614" t="s">
        <v>69</v>
      </c>
      <c r="N614" t="s">
        <v>28</v>
      </c>
      <c r="O614">
        <v>1</v>
      </c>
      <c r="P614" t="s">
        <v>29</v>
      </c>
      <c r="Q614">
        <v>1</v>
      </c>
      <c r="R614" t="s">
        <v>27</v>
      </c>
      <c r="S614" t="s">
        <v>30</v>
      </c>
      <c r="T614" t="s">
        <v>31</v>
      </c>
    </row>
    <row r="615" spans="1:20" x14ac:dyDescent="0.35">
      <c r="A615" t="s">
        <v>673</v>
      </c>
      <c r="B615">
        <v>24</v>
      </c>
      <c r="C615" t="s">
        <v>81</v>
      </c>
      <c r="D615" t="s">
        <v>51</v>
      </c>
      <c r="E615">
        <v>399520</v>
      </c>
      <c r="F615" s="2" t="s">
        <v>1060</v>
      </c>
      <c r="G615" t="s">
        <v>34</v>
      </c>
      <c r="H615">
        <v>1</v>
      </c>
      <c r="I615" t="s">
        <v>35</v>
      </c>
      <c r="J615">
        <v>4</v>
      </c>
      <c r="K615" t="s">
        <v>52</v>
      </c>
      <c r="L615">
        <v>22</v>
      </c>
      <c r="M615" t="s">
        <v>69</v>
      </c>
      <c r="N615" t="s">
        <v>53</v>
      </c>
      <c r="O615">
        <v>1</v>
      </c>
      <c r="P615" t="s">
        <v>29</v>
      </c>
      <c r="Q615">
        <v>1</v>
      </c>
      <c r="R615" t="s">
        <v>27</v>
      </c>
      <c r="S615" t="s">
        <v>75</v>
      </c>
      <c r="T615" t="s">
        <v>31</v>
      </c>
    </row>
    <row r="616" spans="1:20" x14ac:dyDescent="0.35">
      <c r="A616" t="s">
        <v>674</v>
      </c>
      <c r="B616">
        <v>18</v>
      </c>
      <c r="C616" t="s">
        <v>45</v>
      </c>
      <c r="D616" t="s">
        <v>41</v>
      </c>
      <c r="E616">
        <v>198880</v>
      </c>
      <c r="F616" s="1" t="s">
        <v>1060</v>
      </c>
      <c r="G616" t="s">
        <v>38</v>
      </c>
      <c r="H616">
        <v>4</v>
      </c>
      <c r="I616" t="s">
        <v>35</v>
      </c>
      <c r="J616">
        <v>1</v>
      </c>
      <c r="K616" t="s">
        <v>26</v>
      </c>
      <c r="L616">
        <v>22</v>
      </c>
      <c r="M616" t="s">
        <v>27</v>
      </c>
      <c r="N616" t="s">
        <v>28</v>
      </c>
      <c r="O616">
        <v>1</v>
      </c>
      <c r="P616" t="s">
        <v>29</v>
      </c>
      <c r="Q616">
        <v>1</v>
      </c>
      <c r="R616" t="s">
        <v>27</v>
      </c>
      <c r="S616" t="s">
        <v>30</v>
      </c>
      <c r="T616" t="s">
        <v>31</v>
      </c>
    </row>
    <row r="617" spans="1:20" x14ac:dyDescent="0.35">
      <c r="A617" t="s">
        <v>675</v>
      </c>
      <c r="B617">
        <v>48</v>
      </c>
      <c r="C617" t="s">
        <v>68</v>
      </c>
      <c r="D617" t="s">
        <v>61</v>
      </c>
      <c r="E617">
        <v>1342440</v>
      </c>
      <c r="F617" s="2" t="s">
        <v>23</v>
      </c>
      <c r="G617" t="s">
        <v>34</v>
      </c>
      <c r="H617">
        <v>2</v>
      </c>
      <c r="I617" t="s">
        <v>25</v>
      </c>
      <c r="J617">
        <v>2</v>
      </c>
      <c r="K617" t="s">
        <v>52</v>
      </c>
      <c r="L617">
        <v>48</v>
      </c>
      <c r="M617" t="s">
        <v>69</v>
      </c>
      <c r="N617" t="s">
        <v>28</v>
      </c>
      <c r="O617">
        <v>1</v>
      </c>
      <c r="P617" t="s">
        <v>54</v>
      </c>
      <c r="Q617">
        <v>1</v>
      </c>
      <c r="R617" t="s">
        <v>30</v>
      </c>
      <c r="S617" t="s">
        <v>30</v>
      </c>
      <c r="T617" t="s">
        <v>31</v>
      </c>
    </row>
    <row r="618" spans="1:20" x14ac:dyDescent="0.35">
      <c r="A618" t="s">
        <v>676</v>
      </c>
      <c r="B618">
        <v>60</v>
      </c>
      <c r="C618" t="s">
        <v>45</v>
      </c>
      <c r="D618" t="s">
        <v>22</v>
      </c>
      <c r="E618">
        <v>1007270</v>
      </c>
      <c r="F618" s="1" t="s">
        <v>23</v>
      </c>
      <c r="G618" t="s">
        <v>34</v>
      </c>
      <c r="H618">
        <v>2</v>
      </c>
      <c r="I618" t="s">
        <v>25</v>
      </c>
      <c r="J618">
        <v>2</v>
      </c>
      <c r="K618" t="s">
        <v>47</v>
      </c>
      <c r="L618">
        <v>27</v>
      </c>
      <c r="M618" t="s">
        <v>27</v>
      </c>
      <c r="N618" t="s">
        <v>43</v>
      </c>
      <c r="O618">
        <v>1</v>
      </c>
      <c r="P618" t="s">
        <v>54</v>
      </c>
      <c r="Q618">
        <v>1</v>
      </c>
      <c r="R618" t="s">
        <v>27</v>
      </c>
      <c r="S618" t="s">
        <v>30</v>
      </c>
      <c r="T618" t="s">
        <v>31</v>
      </c>
    </row>
    <row r="619" spans="1:20" x14ac:dyDescent="0.35">
      <c r="A619" t="s">
        <v>677</v>
      </c>
      <c r="B619">
        <v>6</v>
      </c>
      <c r="C619" t="s">
        <v>21</v>
      </c>
      <c r="D619" t="s">
        <v>46</v>
      </c>
      <c r="E619">
        <v>404360</v>
      </c>
      <c r="F619" s="2" t="s">
        <v>1060</v>
      </c>
      <c r="G619" t="s">
        <v>34</v>
      </c>
      <c r="H619">
        <v>1</v>
      </c>
      <c r="I619" t="s">
        <v>25</v>
      </c>
      <c r="J619">
        <v>3</v>
      </c>
      <c r="K619" t="s">
        <v>26</v>
      </c>
      <c r="L619">
        <v>37</v>
      </c>
      <c r="M619" t="s">
        <v>27</v>
      </c>
      <c r="N619" t="s">
        <v>53</v>
      </c>
      <c r="O619">
        <v>3</v>
      </c>
      <c r="P619" t="s">
        <v>29</v>
      </c>
      <c r="Q619">
        <v>2</v>
      </c>
      <c r="R619" t="s">
        <v>27</v>
      </c>
      <c r="S619" t="s">
        <v>30</v>
      </c>
      <c r="T619" t="s">
        <v>31</v>
      </c>
    </row>
    <row r="620" spans="1:20" x14ac:dyDescent="0.35">
      <c r="A620" t="s">
        <v>678</v>
      </c>
      <c r="B620">
        <v>30</v>
      </c>
      <c r="C620" t="s">
        <v>33</v>
      </c>
      <c r="D620" t="s">
        <v>41</v>
      </c>
      <c r="E620">
        <v>378510</v>
      </c>
      <c r="F620" s="1" t="s">
        <v>1063</v>
      </c>
      <c r="G620" t="s">
        <v>34</v>
      </c>
      <c r="H620">
        <v>2</v>
      </c>
      <c r="I620" t="s">
        <v>35</v>
      </c>
      <c r="J620">
        <v>4</v>
      </c>
      <c r="K620" t="s">
        <v>52</v>
      </c>
      <c r="L620">
        <v>21</v>
      </c>
      <c r="M620" t="s">
        <v>27</v>
      </c>
      <c r="N620" t="s">
        <v>53</v>
      </c>
      <c r="O620">
        <v>1</v>
      </c>
      <c r="P620" t="s">
        <v>29</v>
      </c>
      <c r="Q620">
        <v>1</v>
      </c>
      <c r="R620" t="s">
        <v>27</v>
      </c>
      <c r="S620" t="s">
        <v>30</v>
      </c>
      <c r="T620" t="s">
        <v>31</v>
      </c>
    </row>
    <row r="621" spans="1:20" x14ac:dyDescent="0.35">
      <c r="A621" t="s">
        <v>679</v>
      </c>
      <c r="B621">
        <v>12</v>
      </c>
      <c r="C621" t="s">
        <v>33</v>
      </c>
      <c r="D621" t="s">
        <v>46</v>
      </c>
      <c r="E621">
        <v>70400</v>
      </c>
      <c r="F621" s="2" t="s">
        <v>1060</v>
      </c>
      <c r="G621" t="s">
        <v>34</v>
      </c>
      <c r="H621">
        <v>4</v>
      </c>
      <c r="I621" t="s">
        <v>25</v>
      </c>
      <c r="J621">
        <v>2</v>
      </c>
      <c r="K621" t="s">
        <v>26</v>
      </c>
      <c r="L621">
        <v>49</v>
      </c>
      <c r="M621" t="s">
        <v>27</v>
      </c>
      <c r="N621" t="s">
        <v>28</v>
      </c>
      <c r="O621">
        <v>1</v>
      </c>
      <c r="P621" t="s">
        <v>39</v>
      </c>
      <c r="Q621">
        <v>1</v>
      </c>
      <c r="R621" t="s">
        <v>27</v>
      </c>
      <c r="S621" t="s">
        <v>30</v>
      </c>
      <c r="T621" t="s">
        <v>31</v>
      </c>
    </row>
    <row r="622" spans="1:20" x14ac:dyDescent="0.35">
      <c r="A622" t="s">
        <v>680</v>
      </c>
      <c r="B622">
        <v>21</v>
      </c>
      <c r="C622" t="s">
        <v>21</v>
      </c>
      <c r="D622" t="s">
        <v>61</v>
      </c>
      <c r="E622">
        <v>401720</v>
      </c>
      <c r="F622" s="1" t="s">
        <v>1060</v>
      </c>
      <c r="G622" t="s">
        <v>38</v>
      </c>
      <c r="H622">
        <v>2</v>
      </c>
      <c r="I622" t="s">
        <v>25</v>
      </c>
      <c r="J622">
        <v>3</v>
      </c>
      <c r="K622" t="s">
        <v>42</v>
      </c>
      <c r="L622">
        <v>27</v>
      </c>
      <c r="M622" t="s">
        <v>27</v>
      </c>
      <c r="N622" t="s">
        <v>28</v>
      </c>
      <c r="O622">
        <v>2</v>
      </c>
      <c r="P622" t="s">
        <v>29</v>
      </c>
      <c r="Q622">
        <v>1</v>
      </c>
      <c r="R622" t="s">
        <v>27</v>
      </c>
      <c r="S622" t="s">
        <v>30</v>
      </c>
      <c r="T622" t="s">
        <v>31</v>
      </c>
    </row>
    <row r="623" spans="1:20" x14ac:dyDescent="0.35">
      <c r="A623" t="s">
        <v>681</v>
      </c>
      <c r="B623">
        <v>18</v>
      </c>
      <c r="C623" t="s">
        <v>21</v>
      </c>
      <c r="D623" t="s">
        <v>46</v>
      </c>
      <c r="E623">
        <v>168300</v>
      </c>
      <c r="F623" s="2" t="s">
        <v>1060</v>
      </c>
      <c r="G623" t="s">
        <v>34</v>
      </c>
      <c r="H623">
        <v>3</v>
      </c>
      <c r="I623" t="s">
        <v>25</v>
      </c>
      <c r="J623">
        <v>2</v>
      </c>
      <c r="K623" t="s">
        <v>42</v>
      </c>
      <c r="L623">
        <v>32</v>
      </c>
      <c r="M623" t="s">
        <v>69</v>
      </c>
      <c r="N623" t="s">
        <v>28</v>
      </c>
      <c r="O623">
        <v>2</v>
      </c>
      <c r="P623" t="s">
        <v>29</v>
      </c>
      <c r="Q623">
        <v>1</v>
      </c>
      <c r="R623" t="s">
        <v>27</v>
      </c>
      <c r="S623" t="s">
        <v>30</v>
      </c>
      <c r="T623" t="s">
        <v>31</v>
      </c>
    </row>
    <row r="624" spans="1:20" x14ac:dyDescent="0.35">
      <c r="A624" t="s">
        <v>682</v>
      </c>
      <c r="B624">
        <v>48</v>
      </c>
      <c r="C624" t="s">
        <v>33</v>
      </c>
      <c r="D624" t="s">
        <v>61</v>
      </c>
      <c r="E624">
        <v>430540</v>
      </c>
      <c r="F624" s="1" t="s">
        <v>23</v>
      </c>
      <c r="G624" t="s">
        <v>34</v>
      </c>
      <c r="H624">
        <v>4</v>
      </c>
      <c r="I624" t="s">
        <v>25</v>
      </c>
      <c r="J624">
        <v>2</v>
      </c>
      <c r="K624" t="s">
        <v>26</v>
      </c>
      <c r="L624">
        <v>38</v>
      </c>
      <c r="M624" t="s">
        <v>69</v>
      </c>
      <c r="N624" t="s">
        <v>28</v>
      </c>
      <c r="O624">
        <v>1</v>
      </c>
      <c r="P624" t="s">
        <v>29</v>
      </c>
      <c r="Q624">
        <v>1</v>
      </c>
      <c r="R624" t="s">
        <v>27</v>
      </c>
      <c r="S624" t="s">
        <v>30</v>
      </c>
      <c r="T624" t="s">
        <v>31</v>
      </c>
    </row>
    <row r="625" spans="1:20" x14ac:dyDescent="0.35">
      <c r="A625" t="s">
        <v>683</v>
      </c>
      <c r="B625">
        <v>12</v>
      </c>
      <c r="C625" t="s">
        <v>33</v>
      </c>
      <c r="D625" t="s">
        <v>41</v>
      </c>
      <c r="E625">
        <v>204380</v>
      </c>
      <c r="F625" s="2" t="s">
        <v>1060</v>
      </c>
      <c r="G625" t="s">
        <v>59</v>
      </c>
      <c r="H625">
        <v>4</v>
      </c>
      <c r="I625" t="s">
        <v>35</v>
      </c>
      <c r="J625">
        <v>1</v>
      </c>
      <c r="K625" t="s">
        <v>52</v>
      </c>
      <c r="L625">
        <v>22</v>
      </c>
      <c r="M625" t="s">
        <v>27</v>
      </c>
      <c r="N625" t="s">
        <v>53</v>
      </c>
      <c r="O625">
        <v>1</v>
      </c>
      <c r="P625" t="s">
        <v>29</v>
      </c>
      <c r="Q625">
        <v>1</v>
      </c>
      <c r="R625" t="s">
        <v>27</v>
      </c>
      <c r="S625" t="s">
        <v>30</v>
      </c>
      <c r="T625" t="s">
        <v>31</v>
      </c>
    </row>
    <row r="626" spans="1:20" x14ac:dyDescent="0.35">
      <c r="A626" t="s">
        <v>684</v>
      </c>
      <c r="B626">
        <v>18</v>
      </c>
      <c r="C626" t="s">
        <v>33</v>
      </c>
      <c r="D626" t="s">
        <v>22</v>
      </c>
      <c r="E626">
        <v>286000</v>
      </c>
      <c r="F626" s="1" t="s">
        <v>1060</v>
      </c>
      <c r="G626" t="s">
        <v>34</v>
      </c>
      <c r="H626">
        <v>4</v>
      </c>
      <c r="I626" t="s">
        <v>25</v>
      </c>
      <c r="J626">
        <v>4</v>
      </c>
      <c r="K626" t="s">
        <v>47</v>
      </c>
      <c r="L626">
        <v>65</v>
      </c>
      <c r="M626" t="s">
        <v>27</v>
      </c>
      <c r="N626" t="s">
        <v>43</v>
      </c>
      <c r="O626">
        <v>2</v>
      </c>
      <c r="P626" t="s">
        <v>29</v>
      </c>
      <c r="Q626">
        <v>1</v>
      </c>
      <c r="R626" t="s">
        <v>27</v>
      </c>
      <c r="S626" t="s">
        <v>30</v>
      </c>
      <c r="T626" t="s">
        <v>31</v>
      </c>
    </row>
    <row r="627" spans="1:20" x14ac:dyDescent="0.35">
      <c r="A627" t="s">
        <v>685</v>
      </c>
      <c r="B627">
        <v>15</v>
      </c>
      <c r="C627" t="s">
        <v>33</v>
      </c>
      <c r="D627" t="s">
        <v>22</v>
      </c>
      <c r="E627">
        <v>217690</v>
      </c>
      <c r="F627" s="2" t="s">
        <v>23</v>
      </c>
      <c r="G627" t="s">
        <v>24</v>
      </c>
      <c r="H627">
        <v>4</v>
      </c>
      <c r="I627" t="s">
        <v>25</v>
      </c>
      <c r="J627">
        <v>2</v>
      </c>
      <c r="K627" t="s">
        <v>52</v>
      </c>
      <c r="L627">
        <v>35</v>
      </c>
      <c r="M627" t="s">
        <v>27</v>
      </c>
      <c r="N627" t="s">
        <v>28</v>
      </c>
      <c r="O627">
        <v>1</v>
      </c>
      <c r="P627" t="s">
        <v>29</v>
      </c>
      <c r="Q627">
        <v>1</v>
      </c>
      <c r="R627" t="s">
        <v>27</v>
      </c>
      <c r="S627" t="s">
        <v>30</v>
      </c>
      <c r="T627" t="s">
        <v>31</v>
      </c>
    </row>
    <row r="628" spans="1:20" x14ac:dyDescent="0.35">
      <c r="A628" t="s">
        <v>686</v>
      </c>
      <c r="B628">
        <v>6</v>
      </c>
      <c r="C628" t="s">
        <v>33</v>
      </c>
      <c r="D628" t="s">
        <v>41</v>
      </c>
      <c r="E628">
        <v>232760</v>
      </c>
      <c r="F628" s="1" t="s">
        <v>1060</v>
      </c>
      <c r="G628" t="s">
        <v>34</v>
      </c>
      <c r="H628">
        <v>2</v>
      </c>
      <c r="I628" t="s">
        <v>25</v>
      </c>
      <c r="J628">
        <v>2</v>
      </c>
      <c r="K628" t="s">
        <v>26</v>
      </c>
      <c r="L628">
        <v>41</v>
      </c>
      <c r="M628" t="s">
        <v>27</v>
      </c>
      <c r="N628" t="s">
        <v>28</v>
      </c>
      <c r="O628">
        <v>1</v>
      </c>
      <c r="P628" t="s">
        <v>29</v>
      </c>
      <c r="Q628">
        <v>1</v>
      </c>
      <c r="R628" t="s">
        <v>30</v>
      </c>
      <c r="S628" t="s">
        <v>30</v>
      </c>
      <c r="T628" t="s">
        <v>31</v>
      </c>
    </row>
    <row r="629" spans="1:20" x14ac:dyDescent="0.35">
      <c r="A629" t="s">
        <v>687</v>
      </c>
      <c r="B629">
        <v>9</v>
      </c>
      <c r="C629" t="s">
        <v>81</v>
      </c>
      <c r="D629" t="s">
        <v>46</v>
      </c>
      <c r="E629">
        <v>158070</v>
      </c>
      <c r="F629" s="2" t="s">
        <v>1063</v>
      </c>
      <c r="G629" t="s">
        <v>38</v>
      </c>
      <c r="H629">
        <v>2</v>
      </c>
      <c r="I629" t="s">
        <v>25</v>
      </c>
      <c r="J629">
        <v>3</v>
      </c>
      <c r="K629" t="s">
        <v>47</v>
      </c>
      <c r="L629">
        <v>29</v>
      </c>
      <c r="M629" t="s">
        <v>27</v>
      </c>
      <c r="N629" t="s">
        <v>28</v>
      </c>
      <c r="O629">
        <v>1</v>
      </c>
      <c r="P629" t="s">
        <v>29</v>
      </c>
      <c r="Q629">
        <v>1</v>
      </c>
      <c r="R629" t="s">
        <v>27</v>
      </c>
      <c r="S629" t="s">
        <v>30</v>
      </c>
      <c r="T629" t="s">
        <v>31</v>
      </c>
    </row>
    <row r="630" spans="1:20" x14ac:dyDescent="0.35">
      <c r="A630" t="s">
        <v>688</v>
      </c>
      <c r="B630">
        <v>42</v>
      </c>
      <c r="C630" t="s">
        <v>21</v>
      </c>
      <c r="D630" t="s">
        <v>41</v>
      </c>
      <c r="E630">
        <v>444620</v>
      </c>
      <c r="F630" s="1" t="s">
        <v>1061</v>
      </c>
      <c r="G630" t="s">
        <v>34</v>
      </c>
      <c r="H630">
        <v>4</v>
      </c>
      <c r="I630" t="s">
        <v>25</v>
      </c>
      <c r="J630">
        <v>4</v>
      </c>
      <c r="K630" t="s">
        <v>26</v>
      </c>
      <c r="L630">
        <v>36</v>
      </c>
      <c r="M630" t="s">
        <v>27</v>
      </c>
      <c r="N630" t="s">
        <v>28</v>
      </c>
      <c r="O630">
        <v>2</v>
      </c>
      <c r="P630" t="s">
        <v>29</v>
      </c>
      <c r="Q630">
        <v>1</v>
      </c>
      <c r="R630" t="s">
        <v>30</v>
      </c>
      <c r="S630" t="s">
        <v>30</v>
      </c>
      <c r="T630" t="s">
        <v>31</v>
      </c>
    </row>
    <row r="631" spans="1:20" x14ac:dyDescent="0.35">
      <c r="A631" t="s">
        <v>689</v>
      </c>
      <c r="B631">
        <v>9</v>
      </c>
      <c r="C631" t="s">
        <v>33</v>
      </c>
      <c r="D631" t="s">
        <v>37</v>
      </c>
      <c r="E631">
        <v>421520</v>
      </c>
      <c r="F631" s="2" t="s">
        <v>23</v>
      </c>
      <c r="G631" t="s">
        <v>24</v>
      </c>
      <c r="H631">
        <v>1</v>
      </c>
      <c r="I631" t="s">
        <v>25</v>
      </c>
      <c r="J631">
        <v>4</v>
      </c>
      <c r="K631" t="s">
        <v>26</v>
      </c>
      <c r="L631">
        <v>64</v>
      </c>
      <c r="M631" t="s">
        <v>27</v>
      </c>
      <c r="N631" t="s">
        <v>28</v>
      </c>
      <c r="O631">
        <v>1</v>
      </c>
      <c r="P631" t="s">
        <v>39</v>
      </c>
      <c r="Q631">
        <v>1</v>
      </c>
      <c r="R631" t="s">
        <v>27</v>
      </c>
      <c r="S631" t="s">
        <v>30</v>
      </c>
      <c r="T631" t="s">
        <v>31</v>
      </c>
    </row>
    <row r="632" spans="1:20" x14ac:dyDescent="0.35">
      <c r="A632" t="s">
        <v>690</v>
      </c>
      <c r="B632">
        <v>24</v>
      </c>
      <c r="C632" t="s">
        <v>33</v>
      </c>
      <c r="D632" t="s">
        <v>22</v>
      </c>
      <c r="E632">
        <v>402600</v>
      </c>
      <c r="F632" s="1" t="s">
        <v>1060</v>
      </c>
      <c r="G632" t="s">
        <v>34</v>
      </c>
      <c r="H632">
        <v>2</v>
      </c>
      <c r="I632" t="s">
        <v>35</v>
      </c>
      <c r="J632">
        <v>4</v>
      </c>
      <c r="K632" t="s">
        <v>52</v>
      </c>
      <c r="L632">
        <v>28</v>
      </c>
      <c r="M632" t="s">
        <v>27</v>
      </c>
      <c r="N632" t="s">
        <v>28</v>
      </c>
      <c r="O632">
        <v>1</v>
      </c>
      <c r="P632" t="s">
        <v>29</v>
      </c>
      <c r="Q632">
        <v>1</v>
      </c>
      <c r="R632" t="s">
        <v>27</v>
      </c>
      <c r="S632" t="s">
        <v>30</v>
      </c>
      <c r="T632" t="s">
        <v>31</v>
      </c>
    </row>
    <row r="633" spans="1:20" x14ac:dyDescent="0.35">
      <c r="A633" t="s">
        <v>691</v>
      </c>
      <c r="B633">
        <v>18</v>
      </c>
      <c r="C633" t="s">
        <v>81</v>
      </c>
      <c r="D633" t="s">
        <v>41</v>
      </c>
      <c r="E633">
        <v>170830</v>
      </c>
      <c r="F633" s="2" t="s">
        <v>1060</v>
      </c>
      <c r="G633" t="s">
        <v>34</v>
      </c>
      <c r="H633">
        <v>4</v>
      </c>
      <c r="I633" t="s">
        <v>25</v>
      </c>
      <c r="J633">
        <v>3</v>
      </c>
      <c r="K633" t="s">
        <v>52</v>
      </c>
      <c r="L633">
        <v>44</v>
      </c>
      <c r="M633" t="s">
        <v>69</v>
      </c>
      <c r="N633" t="s">
        <v>28</v>
      </c>
      <c r="O633">
        <v>1</v>
      </c>
      <c r="P633" t="s">
        <v>29</v>
      </c>
      <c r="Q633">
        <v>1</v>
      </c>
      <c r="R633" t="s">
        <v>27</v>
      </c>
      <c r="S633" t="s">
        <v>30</v>
      </c>
      <c r="T633" t="s">
        <v>31</v>
      </c>
    </row>
    <row r="634" spans="1:20" x14ac:dyDescent="0.35">
      <c r="A634" t="s">
        <v>692</v>
      </c>
      <c r="B634">
        <v>15</v>
      </c>
      <c r="C634" t="s">
        <v>33</v>
      </c>
      <c r="D634" t="s">
        <v>22</v>
      </c>
      <c r="E634">
        <v>158840</v>
      </c>
      <c r="F634" s="1" t="s">
        <v>23</v>
      </c>
      <c r="G634" t="s">
        <v>59</v>
      </c>
      <c r="H634">
        <v>4</v>
      </c>
      <c r="I634" t="s">
        <v>25</v>
      </c>
      <c r="J634">
        <v>1</v>
      </c>
      <c r="K634" t="s">
        <v>42</v>
      </c>
      <c r="L634">
        <v>23</v>
      </c>
      <c r="M634" t="s">
        <v>27</v>
      </c>
      <c r="N634" t="s">
        <v>28</v>
      </c>
      <c r="O634">
        <v>1</v>
      </c>
      <c r="P634" t="s">
        <v>29</v>
      </c>
      <c r="Q634">
        <v>1</v>
      </c>
      <c r="R634" t="s">
        <v>27</v>
      </c>
      <c r="S634" t="s">
        <v>30</v>
      </c>
      <c r="T634" t="s">
        <v>31</v>
      </c>
    </row>
    <row r="635" spans="1:20" x14ac:dyDescent="0.35">
      <c r="A635" t="s">
        <v>693</v>
      </c>
      <c r="B635">
        <v>9</v>
      </c>
      <c r="C635" t="s">
        <v>33</v>
      </c>
      <c r="D635" t="s">
        <v>41</v>
      </c>
      <c r="E635">
        <v>217800</v>
      </c>
      <c r="F635" s="2" t="s">
        <v>1060</v>
      </c>
      <c r="G635" t="s">
        <v>59</v>
      </c>
      <c r="H635">
        <v>2</v>
      </c>
      <c r="I635" t="s">
        <v>35</v>
      </c>
      <c r="J635">
        <v>2</v>
      </c>
      <c r="K635" t="s">
        <v>52</v>
      </c>
      <c r="L635">
        <v>19</v>
      </c>
      <c r="M635" t="s">
        <v>27</v>
      </c>
      <c r="N635" t="s">
        <v>53</v>
      </c>
      <c r="O635">
        <v>2</v>
      </c>
      <c r="P635" t="s">
        <v>29</v>
      </c>
      <c r="Q635">
        <v>1</v>
      </c>
      <c r="R635" t="s">
        <v>27</v>
      </c>
      <c r="S635" t="s">
        <v>30</v>
      </c>
      <c r="T635" t="s">
        <v>31</v>
      </c>
    </row>
    <row r="636" spans="1:20" x14ac:dyDescent="0.35">
      <c r="A636" t="s">
        <v>694</v>
      </c>
      <c r="B636">
        <v>24</v>
      </c>
      <c r="C636" t="s">
        <v>33</v>
      </c>
      <c r="D636" t="s">
        <v>46</v>
      </c>
      <c r="E636">
        <v>149050</v>
      </c>
      <c r="F636" s="1" t="s">
        <v>1060</v>
      </c>
      <c r="G636" t="s">
        <v>59</v>
      </c>
      <c r="H636">
        <v>3</v>
      </c>
      <c r="I636" t="s">
        <v>35</v>
      </c>
      <c r="J636">
        <v>4</v>
      </c>
      <c r="K636" t="s">
        <v>52</v>
      </c>
      <c r="L636">
        <v>25</v>
      </c>
      <c r="M636" t="s">
        <v>27</v>
      </c>
      <c r="N636" t="s">
        <v>28</v>
      </c>
      <c r="O636">
        <v>1</v>
      </c>
      <c r="P636" t="s">
        <v>39</v>
      </c>
      <c r="Q636">
        <v>1</v>
      </c>
      <c r="R636" t="s">
        <v>30</v>
      </c>
      <c r="S636" t="s">
        <v>30</v>
      </c>
      <c r="T636" t="s">
        <v>31</v>
      </c>
    </row>
    <row r="637" spans="1:20" x14ac:dyDescent="0.35">
      <c r="A637" t="s">
        <v>695</v>
      </c>
      <c r="B637">
        <v>12</v>
      </c>
      <c r="C637" t="s">
        <v>33</v>
      </c>
      <c r="D637" t="s">
        <v>37</v>
      </c>
      <c r="E637">
        <v>153230</v>
      </c>
      <c r="F637" s="2" t="s">
        <v>1060</v>
      </c>
      <c r="G637" t="s">
        <v>24</v>
      </c>
      <c r="H637">
        <v>4</v>
      </c>
      <c r="I637" t="s">
        <v>25</v>
      </c>
      <c r="J637">
        <v>4</v>
      </c>
      <c r="K637" t="s">
        <v>42</v>
      </c>
      <c r="L637">
        <v>47</v>
      </c>
      <c r="M637" t="s">
        <v>69</v>
      </c>
      <c r="N637" t="s">
        <v>28</v>
      </c>
      <c r="O637">
        <v>3</v>
      </c>
      <c r="P637" t="s">
        <v>29</v>
      </c>
      <c r="Q637">
        <v>2</v>
      </c>
      <c r="R637" t="s">
        <v>30</v>
      </c>
      <c r="S637" t="s">
        <v>30</v>
      </c>
      <c r="T637" t="s">
        <v>31</v>
      </c>
    </row>
    <row r="638" spans="1:20" x14ac:dyDescent="0.35">
      <c r="A638" t="s">
        <v>696</v>
      </c>
      <c r="B638">
        <v>24</v>
      </c>
      <c r="C638" t="s">
        <v>33</v>
      </c>
      <c r="D638" t="s">
        <v>22</v>
      </c>
      <c r="E638">
        <v>151360</v>
      </c>
      <c r="F638" s="1" t="s">
        <v>1061</v>
      </c>
      <c r="G638" t="s">
        <v>38</v>
      </c>
      <c r="H638">
        <v>4</v>
      </c>
      <c r="I638" t="s">
        <v>35</v>
      </c>
      <c r="J638">
        <v>1</v>
      </c>
      <c r="K638" t="s">
        <v>52</v>
      </c>
      <c r="L638">
        <v>28</v>
      </c>
      <c r="M638" t="s">
        <v>27</v>
      </c>
      <c r="N638" t="s">
        <v>28</v>
      </c>
      <c r="O638">
        <v>1</v>
      </c>
      <c r="P638" t="s">
        <v>29</v>
      </c>
      <c r="Q638">
        <v>1</v>
      </c>
      <c r="R638" t="s">
        <v>27</v>
      </c>
      <c r="S638" t="s">
        <v>30</v>
      </c>
      <c r="T638" t="s">
        <v>31</v>
      </c>
    </row>
    <row r="639" spans="1:20" x14ac:dyDescent="0.35">
      <c r="A639" t="s">
        <v>697</v>
      </c>
      <c r="B639">
        <v>60</v>
      </c>
      <c r="C639" t="s">
        <v>45</v>
      </c>
      <c r="D639" t="s">
        <v>22</v>
      </c>
      <c r="E639">
        <v>1721830</v>
      </c>
      <c r="F639" s="2" t="s">
        <v>1060</v>
      </c>
      <c r="G639" t="s">
        <v>38</v>
      </c>
      <c r="H639">
        <v>2</v>
      </c>
      <c r="I639" t="s">
        <v>25</v>
      </c>
      <c r="J639">
        <v>4</v>
      </c>
      <c r="K639" t="s">
        <v>52</v>
      </c>
      <c r="L639">
        <v>21</v>
      </c>
      <c r="M639" t="s">
        <v>27</v>
      </c>
      <c r="N639" t="s">
        <v>28</v>
      </c>
      <c r="O639">
        <v>2</v>
      </c>
      <c r="P639" t="s">
        <v>29</v>
      </c>
      <c r="Q639">
        <v>1</v>
      </c>
      <c r="R639" t="s">
        <v>30</v>
      </c>
      <c r="S639" t="s">
        <v>30</v>
      </c>
      <c r="T639" t="s">
        <v>31</v>
      </c>
    </row>
    <row r="640" spans="1:20" x14ac:dyDescent="0.35">
      <c r="A640" t="s">
        <v>698</v>
      </c>
      <c r="B640">
        <v>12</v>
      </c>
      <c r="C640" t="s">
        <v>33</v>
      </c>
      <c r="D640" t="s">
        <v>22</v>
      </c>
      <c r="E640">
        <v>164230</v>
      </c>
      <c r="F640" s="1" t="s">
        <v>1060</v>
      </c>
      <c r="G640" t="s">
        <v>59</v>
      </c>
      <c r="H640">
        <v>4</v>
      </c>
      <c r="I640" t="s">
        <v>35</v>
      </c>
      <c r="J640">
        <v>3</v>
      </c>
      <c r="K640" t="s">
        <v>52</v>
      </c>
      <c r="L640">
        <v>34</v>
      </c>
      <c r="M640" t="s">
        <v>27</v>
      </c>
      <c r="N640" t="s">
        <v>28</v>
      </c>
      <c r="O640">
        <v>1</v>
      </c>
      <c r="P640" t="s">
        <v>29</v>
      </c>
      <c r="Q640">
        <v>2</v>
      </c>
      <c r="R640" t="s">
        <v>27</v>
      </c>
      <c r="S640" t="s">
        <v>30</v>
      </c>
      <c r="T640" t="s">
        <v>31</v>
      </c>
    </row>
    <row r="641" spans="1:20" x14ac:dyDescent="0.35">
      <c r="A641" t="s">
        <v>699</v>
      </c>
      <c r="B641">
        <v>42</v>
      </c>
      <c r="C641" t="s">
        <v>45</v>
      </c>
      <c r="D641" t="s">
        <v>22</v>
      </c>
      <c r="E641">
        <v>480700</v>
      </c>
      <c r="F641" s="2" t="s">
        <v>1060</v>
      </c>
      <c r="G641" t="s">
        <v>38</v>
      </c>
      <c r="H641">
        <v>3</v>
      </c>
      <c r="I641" t="s">
        <v>25</v>
      </c>
      <c r="J641">
        <v>2</v>
      </c>
      <c r="K641" t="s">
        <v>42</v>
      </c>
      <c r="L641">
        <v>26</v>
      </c>
      <c r="M641" t="s">
        <v>69</v>
      </c>
      <c r="N641" t="s">
        <v>28</v>
      </c>
      <c r="O641">
        <v>2</v>
      </c>
      <c r="P641" t="s">
        <v>29</v>
      </c>
      <c r="Q641">
        <v>2</v>
      </c>
      <c r="R641" t="s">
        <v>30</v>
      </c>
      <c r="S641" t="s">
        <v>30</v>
      </c>
      <c r="T641" t="s">
        <v>31</v>
      </c>
    </row>
    <row r="642" spans="1:20" x14ac:dyDescent="0.35">
      <c r="A642" t="s">
        <v>700</v>
      </c>
      <c r="B642">
        <v>18</v>
      </c>
      <c r="C642" t="s">
        <v>33</v>
      </c>
      <c r="D642" t="s">
        <v>37</v>
      </c>
      <c r="E642">
        <v>82500</v>
      </c>
      <c r="F642" s="1" t="s">
        <v>1060</v>
      </c>
      <c r="G642" t="s">
        <v>57</v>
      </c>
      <c r="H642">
        <v>4</v>
      </c>
      <c r="I642" t="s">
        <v>35</v>
      </c>
      <c r="J642">
        <v>1</v>
      </c>
      <c r="K642" t="s">
        <v>26</v>
      </c>
      <c r="L642">
        <v>27</v>
      </c>
      <c r="M642" t="s">
        <v>27</v>
      </c>
      <c r="N642" t="s">
        <v>28</v>
      </c>
      <c r="O642">
        <v>1</v>
      </c>
      <c r="P642" t="s">
        <v>105</v>
      </c>
      <c r="Q642">
        <v>1</v>
      </c>
      <c r="R642" t="s">
        <v>27</v>
      </c>
      <c r="S642" t="s">
        <v>30</v>
      </c>
      <c r="T642" t="s">
        <v>31</v>
      </c>
    </row>
    <row r="643" spans="1:20" x14ac:dyDescent="0.35">
      <c r="A643" t="s">
        <v>701</v>
      </c>
      <c r="B643">
        <v>15</v>
      </c>
      <c r="C643" t="s">
        <v>33</v>
      </c>
      <c r="D643" t="s">
        <v>99</v>
      </c>
      <c r="E643">
        <v>143880</v>
      </c>
      <c r="F643" s="2" t="s">
        <v>1060</v>
      </c>
      <c r="G643" t="s">
        <v>24</v>
      </c>
      <c r="H643">
        <v>4</v>
      </c>
      <c r="I643" t="s">
        <v>25</v>
      </c>
      <c r="J643">
        <v>4</v>
      </c>
      <c r="K643" t="s">
        <v>52</v>
      </c>
      <c r="L643">
        <v>38</v>
      </c>
      <c r="M643" t="s">
        <v>27</v>
      </c>
      <c r="N643" t="s">
        <v>28</v>
      </c>
      <c r="O643">
        <v>2</v>
      </c>
      <c r="P643" t="s">
        <v>39</v>
      </c>
      <c r="Q643">
        <v>1</v>
      </c>
      <c r="R643" t="s">
        <v>27</v>
      </c>
      <c r="S643" t="s">
        <v>30</v>
      </c>
      <c r="T643" t="s">
        <v>31</v>
      </c>
    </row>
    <row r="644" spans="1:20" x14ac:dyDescent="0.35">
      <c r="A644" t="s">
        <v>702</v>
      </c>
      <c r="B644">
        <v>15</v>
      </c>
      <c r="C644" t="s">
        <v>33</v>
      </c>
      <c r="D644" t="s">
        <v>37</v>
      </c>
      <c r="E644">
        <v>508530</v>
      </c>
      <c r="F644" s="1" t="s">
        <v>1063</v>
      </c>
      <c r="G644" t="s">
        <v>34</v>
      </c>
      <c r="H644">
        <v>3</v>
      </c>
      <c r="I644" t="s">
        <v>25</v>
      </c>
      <c r="J644">
        <v>2</v>
      </c>
      <c r="K644" t="s">
        <v>42</v>
      </c>
      <c r="L644">
        <v>40</v>
      </c>
      <c r="M644" t="s">
        <v>27</v>
      </c>
      <c r="N644" t="s">
        <v>28</v>
      </c>
      <c r="O644">
        <v>1</v>
      </c>
      <c r="P644" t="s">
        <v>54</v>
      </c>
      <c r="Q644">
        <v>1</v>
      </c>
      <c r="R644" t="s">
        <v>30</v>
      </c>
      <c r="S644" t="s">
        <v>30</v>
      </c>
      <c r="T644" t="s">
        <v>31</v>
      </c>
    </row>
    <row r="645" spans="1:20" x14ac:dyDescent="0.35">
      <c r="A645" t="s">
        <v>703</v>
      </c>
      <c r="B645">
        <v>24</v>
      </c>
      <c r="C645" t="s">
        <v>21</v>
      </c>
      <c r="D645" t="s">
        <v>22</v>
      </c>
      <c r="E645">
        <v>203610</v>
      </c>
      <c r="F645" s="2" t="s">
        <v>1060</v>
      </c>
      <c r="G645" t="s">
        <v>38</v>
      </c>
      <c r="H645">
        <v>4</v>
      </c>
      <c r="I645" t="s">
        <v>25</v>
      </c>
      <c r="J645">
        <v>2</v>
      </c>
      <c r="K645" t="s">
        <v>52</v>
      </c>
      <c r="L645">
        <v>33</v>
      </c>
      <c r="M645" t="s">
        <v>27</v>
      </c>
      <c r="N645" t="s">
        <v>28</v>
      </c>
      <c r="O645">
        <v>2</v>
      </c>
      <c r="P645" t="s">
        <v>29</v>
      </c>
      <c r="Q645">
        <v>1</v>
      </c>
      <c r="R645" t="s">
        <v>30</v>
      </c>
      <c r="S645" t="s">
        <v>30</v>
      </c>
      <c r="T645" t="s">
        <v>31</v>
      </c>
    </row>
    <row r="646" spans="1:20" x14ac:dyDescent="0.35">
      <c r="A646" t="s">
        <v>704</v>
      </c>
      <c r="B646">
        <v>18</v>
      </c>
      <c r="C646" t="s">
        <v>21</v>
      </c>
      <c r="D646" t="s">
        <v>22</v>
      </c>
      <c r="E646">
        <v>206800</v>
      </c>
      <c r="F646" s="1" t="s">
        <v>1060</v>
      </c>
      <c r="G646" t="s">
        <v>38</v>
      </c>
      <c r="H646">
        <v>4</v>
      </c>
      <c r="I646" t="s">
        <v>25</v>
      </c>
      <c r="J646">
        <v>1</v>
      </c>
      <c r="K646" t="s">
        <v>42</v>
      </c>
      <c r="L646">
        <v>32</v>
      </c>
      <c r="M646" t="s">
        <v>27</v>
      </c>
      <c r="N646" t="s">
        <v>28</v>
      </c>
      <c r="O646">
        <v>2</v>
      </c>
      <c r="P646" t="s">
        <v>54</v>
      </c>
      <c r="Q646">
        <v>1</v>
      </c>
      <c r="R646" t="s">
        <v>30</v>
      </c>
      <c r="S646" t="s">
        <v>30</v>
      </c>
      <c r="T646" t="s">
        <v>31</v>
      </c>
    </row>
    <row r="647" spans="1:20" x14ac:dyDescent="0.35">
      <c r="A647" t="s">
        <v>705</v>
      </c>
      <c r="B647">
        <v>36</v>
      </c>
      <c r="C647" t="s">
        <v>45</v>
      </c>
      <c r="D647" t="s">
        <v>61</v>
      </c>
      <c r="E647">
        <v>877800</v>
      </c>
      <c r="F647" s="2" t="s">
        <v>23</v>
      </c>
      <c r="G647" t="s">
        <v>59</v>
      </c>
      <c r="H647">
        <v>4</v>
      </c>
      <c r="I647" t="s">
        <v>25</v>
      </c>
      <c r="J647">
        <v>4</v>
      </c>
      <c r="K647" t="s">
        <v>52</v>
      </c>
      <c r="L647">
        <v>27</v>
      </c>
      <c r="M647" t="s">
        <v>27</v>
      </c>
      <c r="N647" t="s">
        <v>53</v>
      </c>
      <c r="O647">
        <v>2</v>
      </c>
      <c r="P647" t="s">
        <v>29</v>
      </c>
      <c r="Q647">
        <v>1</v>
      </c>
      <c r="R647" t="s">
        <v>30</v>
      </c>
      <c r="S647" t="s">
        <v>30</v>
      </c>
      <c r="T647" t="s">
        <v>31</v>
      </c>
    </row>
    <row r="648" spans="1:20" x14ac:dyDescent="0.35">
      <c r="A648" t="s">
        <v>706</v>
      </c>
      <c r="B648">
        <v>30</v>
      </c>
      <c r="C648" t="s">
        <v>68</v>
      </c>
      <c r="D648" t="s">
        <v>41</v>
      </c>
      <c r="E648">
        <v>504130</v>
      </c>
      <c r="F648" s="1" t="s">
        <v>1060</v>
      </c>
      <c r="G648" t="s">
        <v>34</v>
      </c>
      <c r="H648">
        <v>2</v>
      </c>
      <c r="I648" t="s">
        <v>25</v>
      </c>
      <c r="J648">
        <v>2</v>
      </c>
      <c r="K648" t="s">
        <v>26</v>
      </c>
      <c r="L648">
        <v>32</v>
      </c>
      <c r="M648" t="s">
        <v>27</v>
      </c>
      <c r="N648" t="s">
        <v>28</v>
      </c>
      <c r="O648">
        <v>2</v>
      </c>
      <c r="P648" t="s">
        <v>29</v>
      </c>
      <c r="Q648">
        <v>1</v>
      </c>
      <c r="R648" t="s">
        <v>27</v>
      </c>
      <c r="S648" t="s">
        <v>30</v>
      </c>
      <c r="T648" t="s">
        <v>31</v>
      </c>
    </row>
    <row r="649" spans="1:20" x14ac:dyDescent="0.35">
      <c r="A649" t="s">
        <v>707</v>
      </c>
      <c r="B649">
        <v>12</v>
      </c>
      <c r="C649" t="s">
        <v>33</v>
      </c>
      <c r="D649" t="s">
        <v>46</v>
      </c>
      <c r="E649">
        <v>152460</v>
      </c>
      <c r="F649" s="2" t="s">
        <v>1061</v>
      </c>
      <c r="G649" t="s">
        <v>34</v>
      </c>
      <c r="H649">
        <v>2</v>
      </c>
      <c r="I649" t="s">
        <v>35</v>
      </c>
      <c r="J649">
        <v>2</v>
      </c>
      <c r="K649" t="s">
        <v>42</v>
      </c>
      <c r="L649">
        <v>26</v>
      </c>
      <c r="M649" t="s">
        <v>27</v>
      </c>
      <c r="N649" t="s">
        <v>28</v>
      </c>
      <c r="O649">
        <v>1</v>
      </c>
      <c r="P649" t="s">
        <v>29</v>
      </c>
      <c r="Q649">
        <v>1</v>
      </c>
      <c r="R649" t="s">
        <v>27</v>
      </c>
      <c r="S649" t="s">
        <v>30</v>
      </c>
      <c r="T649" t="s">
        <v>31</v>
      </c>
    </row>
    <row r="650" spans="1:20" x14ac:dyDescent="0.35">
      <c r="A650" t="s">
        <v>708</v>
      </c>
      <c r="B650">
        <v>24</v>
      </c>
      <c r="C650" t="s">
        <v>33</v>
      </c>
      <c r="D650" t="s">
        <v>46</v>
      </c>
      <c r="E650">
        <v>104170</v>
      </c>
      <c r="F650" s="1" t="s">
        <v>1060</v>
      </c>
      <c r="G650" t="s">
        <v>38</v>
      </c>
      <c r="H650">
        <v>4</v>
      </c>
      <c r="I650" t="s">
        <v>25</v>
      </c>
      <c r="J650">
        <v>3</v>
      </c>
      <c r="K650" t="s">
        <v>47</v>
      </c>
      <c r="L650">
        <v>38</v>
      </c>
      <c r="M650" t="s">
        <v>69</v>
      </c>
      <c r="N650" t="s">
        <v>43</v>
      </c>
      <c r="O650">
        <v>1</v>
      </c>
      <c r="P650" t="s">
        <v>29</v>
      </c>
      <c r="Q650">
        <v>2</v>
      </c>
      <c r="R650" t="s">
        <v>27</v>
      </c>
      <c r="S650" t="s">
        <v>30</v>
      </c>
      <c r="T650" t="s">
        <v>31</v>
      </c>
    </row>
    <row r="651" spans="1:20" x14ac:dyDescent="0.35">
      <c r="A651" t="s">
        <v>709</v>
      </c>
      <c r="B651">
        <v>12</v>
      </c>
      <c r="C651" t="s">
        <v>33</v>
      </c>
      <c r="D651" t="s">
        <v>37</v>
      </c>
      <c r="E651">
        <v>75240</v>
      </c>
      <c r="F651" s="2" t="s">
        <v>1060</v>
      </c>
      <c r="G651" t="s">
        <v>34</v>
      </c>
      <c r="H651">
        <v>4</v>
      </c>
      <c r="I651" t="s">
        <v>25</v>
      </c>
      <c r="J651">
        <v>4</v>
      </c>
      <c r="K651" t="s">
        <v>52</v>
      </c>
      <c r="L651">
        <v>40</v>
      </c>
      <c r="M651" t="s">
        <v>27</v>
      </c>
      <c r="N651" t="s">
        <v>53</v>
      </c>
      <c r="O651">
        <v>1</v>
      </c>
      <c r="P651" t="s">
        <v>39</v>
      </c>
      <c r="Q651">
        <v>2</v>
      </c>
      <c r="R651" t="s">
        <v>27</v>
      </c>
      <c r="S651" t="s">
        <v>30</v>
      </c>
      <c r="T651" t="s">
        <v>31</v>
      </c>
    </row>
    <row r="652" spans="1:20" x14ac:dyDescent="0.35">
      <c r="A652" t="s">
        <v>710</v>
      </c>
      <c r="B652">
        <v>48</v>
      </c>
      <c r="C652" t="s">
        <v>33</v>
      </c>
      <c r="D652" t="s">
        <v>37</v>
      </c>
      <c r="E652">
        <v>822360</v>
      </c>
      <c r="F652" s="1" t="s">
        <v>1060</v>
      </c>
      <c r="G652" t="s">
        <v>38</v>
      </c>
      <c r="H652">
        <v>4</v>
      </c>
      <c r="I652" t="s">
        <v>25</v>
      </c>
      <c r="J652">
        <v>1</v>
      </c>
      <c r="K652" t="s">
        <v>47</v>
      </c>
      <c r="L652">
        <v>50</v>
      </c>
      <c r="M652" t="s">
        <v>27</v>
      </c>
      <c r="N652" t="s">
        <v>43</v>
      </c>
      <c r="O652">
        <v>1</v>
      </c>
      <c r="P652" t="s">
        <v>54</v>
      </c>
      <c r="Q652">
        <v>1</v>
      </c>
      <c r="R652" t="s">
        <v>30</v>
      </c>
      <c r="S652" t="s">
        <v>30</v>
      </c>
      <c r="T652" t="s">
        <v>31</v>
      </c>
    </row>
    <row r="653" spans="1:20" x14ac:dyDescent="0.35">
      <c r="A653" t="s">
        <v>711</v>
      </c>
      <c r="B653">
        <v>12</v>
      </c>
      <c r="C653" t="s">
        <v>33</v>
      </c>
      <c r="D653" t="s">
        <v>41</v>
      </c>
      <c r="E653">
        <v>211420</v>
      </c>
      <c r="F653" s="2" t="s">
        <v>1060</v>
      </c>
      <c r="G653" t="s">
        <v>34</v>
      </c>
      <c r="H653">
        <v>4</v>
      </c>
      <c r="I653" t="s">
        <v>25</v>
      </c>
      <c r="J653">
        <v>2</v>
      </c>
      <c r="K653" t="s">
        <v>42</v>
      </c>
      <c r="L653">
        <v>37</v>
      </c>
      <c r="M653" t="s">
        <v>27</v>
      </c>
      <c r="N653" t="s">
        <v>28</v>
      </c>
      <c r="O653">
        <v>1</v>
      </c>
      <c r="P653" t="s">
        <v>39</v>
      </c>
      <c r="Q653">
        <v>1</v>
      </c>
      <c r="R653" t="s">
        <v>27</v>
      </c>
      <c r="S653" t="s">
        <v>30</v>
      </c>
      <c r="T653" t="s">
        <v>31</v>
      </c>
    </row>
    <row r="654" spans="1:20" x14ac:dyDescent="0.35">
      <c r="A654" t="s">
        <v>712</v>
      </c>
      <c r="B654">
        <v>24</v>
      </c>
      <c r="C654" t="s">
        <v>33</v>
      </c>
      <c r="D654" t="s">
        <v>46</v>
      </c>
      <c r="E654">
        <v>253330</v>
      </c>
      <c r="F654" s="1" t="s">
        <v>1060</v>
      </c>
      <c r="G654" t="s">
        <v>24</v>
      </c>
      <c r="H654">
        <v>4</v>
      </c>
      <c r="I654" t="s">
        <v>25</v>
      </c>
      <c r="J654">
        <v>1</v>
      </c>
      <c r="K654" t="s">
        <v>26</v>
      </c>
      <c r="L654">
        <v>45</v>
      </c>
      <c r="M654" t="s">
        <v>27</v>
      </c>
      <c r="N654" t="s">
        <v>28</v>
      </c>
      <c r="O654">
        <v>1</v>
      </c>
      <c r="P654" t="s">
        <v>29</v>
      </c>
      <c r="Q654">
        <v>1</v>
      </c>
      <c r="R654" t="s">
        <v>27</v>
      </c>
      <c r="S654" t="s">
        <v>30</v>
      </c>
      <c r="T654" t="s">
        <v>31</v>
      </c>
    </row>
    <row r="655" spans="1:20" x14ac:dyDescent="0.35">
      <c r="A655" t="s">
        <v>713</v>
      </c>
      <c r="B655">
        <v>36</v>
      </c>
      <c r="C655" t="s">
        <v>45</v>
      </c>
      <c r="D655" t="s">
        <v>46</v>
      </c>
      <c r="E655">
        <v>889460</v>
      </c>
      <c r="F655" s="2" t="s">
        <v>1063</v>
      </c>
      <c r="G655" t="s">
        <v>24</v>
      </c>
      <c r="H655">
        <v>2</v>
      </c>
      <c r="I655" t="s">
        <v>25</v>
      </c>
      <c r="J655">
        <v>4</v>
      </c>
      <c r="K655" t="s">
        <v>52</v>
      </c>
      <c r="L655">
        <v>42</v>
      </c>
      <c r="M655" t="s">
        <v>27</v>
      </c>
      <c r="N655" t="s">
        <v>28</v>
      </c>
      <c r="O655">
        <v>4</v>
      </c>
      <c r="P655" t="s">
        <v>54</v>
      </c>
      <c r="Q655">
        <v>1</v>
      </c>
      <c r="R655" t="s">
        <v>30</v>
      </c>
      <c r="S655" t="s">
        <v>30</v>
      </c>
      <c r="T655" t="s">
        <v>31</v>
      </c>
    </row>
    <row r="656" spans="1:20" x14ac:dyDescent="0.35">
      <c r="A656" t="s">
        <v>714</v>
      </c>
      <c r="B656">
        <v>24</v>
      </c>
      <c r="C656" t="s">
        <v>21</v>
      </c>
      <c r="D656" t="s">
        <v>51</v>
      </c>
      <c r="E656">
        <v>258060</v>
      </c>
      <c r="F656" s="1" t="s">
        <v>1060</v>
      </c>
      <c r="G656" t="s">
        <v>38</v>
      </c>
      <c r="H656">
        <v>4</v>
      </c>
      <c r="I656" t="s">
        <v>25</v>
      </c>
      <c r="J656">
        <v>3</v>
      </c>
      <c r="K656" t="s">
        <v>52</v>
      </c>
      <c r="L656">
        <v>35</v>
      </c>
      <c r="M656" t="s">
        <v>27</v>
      </c>
      <c r="N656" t="s">
        <v>28</v>
      </c>
      <c r="O656">
        <v>2</v>
      </c>
      <c r="P656" t="s">
        <v>29</v>
      </c>
      <c r="Q656">
        <v>1</v>
      </c>
      <c r="R656" t="s">
        <v>30</v>
      </c>
      <c r="S656" t="s">
        <v>30</v>
      </c>
      <c r="T656" t="s">
        <v>31</v>
      </c>
    </row>
    <row r="657" spans="1:20" x14ac:dyDescent="0.35">
      <c r="A657" t="s">
        <v>715</v>
      </c>
      <c r="B657">
        <v>14</v>
      </c>
      <c r="C657" t="s">
        <v>33</v>
      </c>
      <c r="D657" t="s">
        <v>46</v>
      </c>
      <c r="E657">
        <v>437030</v>
      </c>
      <c r="F657" s="2" t="s">
        <v>1060</v>
      </c>
      <c r="G657" t="s">
        <v>57</v>
      </c>
      <c r="H657">
        <v>1</v>
      </c>
      <c r="I657" t="s">
        <v>25</v>
      </c>
      <c r="J657">
        <v>4</v>
      </c>
      <c r="K657" t="s">
        <v>47</v>
      </c>
      <c r="L657">
        <v>22</v>
      </c>
      <c r="M657" t="s">
        <v>27</v>
      </c>
      <c r="N657" t="s">
        <v>43</v>
      </c>
      <c r="O657">
        <v>1</v>
      </c>
      <c r="P657" t="s">
        <v>29</v>
      </c>
      <c r="Q657">
        <v>1</v>
      </c>
      <c r="R657" t="s">
        <v>27</v>
      </c>
      <c r="S657" t="s">
        <v>30</v>
      </c>
      <c r="T657" t="s">
        <v>31</v>
      </c>
    </row>
    <row r="658" spans="1:20" x14ac:dyDescent="0.35">
      <c r="A658" t="s">
        <v>716</v>
      </c>
      <c r="B658">
        <v>12</v>
      </c>
      <c r="C658" t="s">
        <v>33</v>
      </c>
      <c r="D658" t="s">
        <v>46</v>
      </c>
      <c r="E658">
        <v>97680</v>
      </c>
      <c r="F658" s="1" t="s">
        <v>1060</v>
      </c>
      <c r="G658" t="s">
        <v>24</v>
      </c>
      <c r="H658">
        <v>4</v>
      </c>
      <c r="I658" t="s">
        <v>25</v>
      </c>
      <c r="J658">
        <v>4</v>
      </c>
      <c r="K658" t="s">
        <v>52</v>
      </c>
      <c r="L658">
        <v>41</v>
      </c>
      <c r="M658" t="s">
        <v>69</v>
      </c>
      <c r="N658" t="s">
        <v>28</v>
      </c>
      <c r="O658">
        <v>1</v>
      </c>
      <c r="P658" t="s">
        <v>39</v>
      </c>
      <c r="Q658">
        <v>2</v>
      </c>
      <c r="R658" t="s">
        <v>27</v>
      </c>
      <c r="S658" t="s">
        <v>30</v>
      </c>
      <c r="T658" t="s">
        <v>31</v>
      </c>
    </row>
    <row r="659" spans="1:20" x14ac:dyDescent="0.35">
      <c r="A659" t="s">
        <v>717</v>
      </c>
      <c r="B659">
        <v>48</v>
      </c>
      <c r="C659" t="s">
        <v>33</v>
      </c>
      <c r="D659" t="s">
        <v>22</v>
      </c>
      <c r="E659">
        <v>1124420</v>
      </c>
      <c r="F659" s="2" t="s">
        <v>23</v>
      </c>
      <c r="G659" t="s">
        <v>38</v>
      </c>
      <c r="H659">
        <v>4</v>
      </c>
      <c r="I659" t="s">
        <v>25</v>
      </c>
      <c r="J659">
        <v>3</v>
      </c>
      <c r="K659" t="s">
        <v>52</v>
      </c>
      <c r="L659">
        <v>37</v>
      </c>
      <c r="M659" t="s">
        <v>86</v>
      </c>
      <c r="N659" t="s">
        <v>28</v>
      </c>
      <c r="O659">
        <v>1</v>
      </c>
      <c r="P659" t="s">
        <v>29</v>
      </c>
      <c r="Q659">
        <v>1</v>
      </c>
      <c r="R659" t="s">
        <v>30</v>
      </c>
      <c r="S659" t="s">
        <v>30</v>
      </c>
      <c r="T659" t="s">
        <v>31</v>
      </c>
    </row>
    <row r="660" spans="1:20" x14ac:dyDescent="0.35">
      <c r="A660" t="s">
        <v>718</v>
      </c>
      <c r="B660">
        <v>30</v>
      </c>
      <c r="C660" t="s">
        <v>68</v>
      </c>
      <c r="D660" t="s">
        <v>61</v>
      </c>
      <c r="E660">
        <v>464310</v>
      </c>
      <c r="F660" s="1" t="s">
        <v>1060</v>
      </c>
      <c r="G660" t="s">
        <v>34</v>
      </c>
      <c r="H660">
        <v>2</v>
      </c>
      <c r="I660" t="s">
        <v>35</v>
      </c>
      <c r="J660">
        <v>1</v>
      </c>
      <c r="K660" t="s">
        <v>52</v>
      </c>
      <c r="L660">
        <v>28</v>
      </c>
      <c r="M660" t="s">
        <v>27</v>
      </c>
      <c r="N660" t="s">
        <v>28</v>
      </c>
      <c r="O660">
        <v>2</v>
      </c>
      <c r="P660" t="s">
        <v>29</v>
      </c>
      <c r="Q660">
        <v>1</v>
      </c>
      <c r="R660" t="s">
        <v>27</v>
      </c>
      <c r="S660" t="s">
        <v>30</v>
      </c>
      <c r="T660" t="s">
        <v>31</v>
      </c>
    </row>
    <row r="661" spans="1:20" x14ac:dyDescent="0.35">
      <c r="A661" t="s">
        <v>719</v>
      </c>
      <c r="B661">
        <v>18</v>
      </c>
      <c r="C661" t="s">
        <v>21</v>
      </c>
      <c r="D661" t="s">
        <v>41</v>
      </c>
      <c r="E661">
        <v>699710</v>
      </c>
      <c r="F661" s="2" t="s">
        <v>1060</v>
      </c>
      <c r="G661" t="s">
        <v>24</v>
      </c>
      <c r="H661">
        <v>2</v>
      </c>
      <c r="I661" t="s">
        <v>25</v>
      </c>
      <c r="J661">
        <v>1</v>
      </c>
      <c r="K661" t="s">
        <v>47</v>
      </c>
      <c r="L661">
        <v>41</v>
      </c>
      <c r="M661" t="s">
        <v>27</v>
      </c>
      <c r="N661" t="s">
        <v>28</v>
      </c>
      <c r="O661">
        <v>1</v>
      </c>
      <c r="P661" t="s">
        <v>29</v>
      </c>
      <c r="Q661">
        <v>1</v>
      </c>
      <c r="R661" t="s">
        <v>30</v>
      </c>
      <c r="S661" t="s">
        <v>30</v>
      </c>
      <c r="T661" t="s">
        <v>31</v>
      </c>
    </row>
    <row r="662" spans="1:20" x14ac:dyDescent="0.35">
      <c r="A662" t="s">
        <v>720</v>
      </c>
      <c r="B662">
        <v>12</v>
      </c>
      <c r="C662" t="s">
        <v>33</v>
      </c>
      <c r="D662" t="s">
        <v>22</v>
      </c>
      <c r="E662">
        <v>142670</v>
      </c>
      <c r="F662" s="1" t="s">
        <v>1060</v>
      </c>
      <c r="G662" t="s">
        <v>34</v>
      </c>
      <c r="H662">
        <v>3</v>
      </c>
      <c r="I662" t="s">
        <v>25</v>
      </c>
      <c r="J662">
        <v>4</v>
      </c>
      <c r="K662" t="s">
        <v>26</v>
      </c>
      <c r="L662">
        <v>23</v>
      </c>
      <c r="M662" t="s">
        <v>27</v>
      </c>
      <c r="N662" t="s">
        <v>53</v>
      </c>
      <c r="O662">
        <v>1</v>
      </c>
      <c r="P662" t="s">
        <v>29</v>
      </c>
      <c r="Q662">
        <v>1</v>
      </c>
      <c r="R662" t="s">
        <v>27</v>
      </c>
      <c r="S662" t="s">
        <v>30</v>
      </c>
      <c r="T662" t="s">
        <v>31</v>
      </c>
    </row>
    <row r="663" spans="1:20" x14ac:dyDescent="0.35">
      <c r="A663" t="s">
        <v>721</v>
      </c>
      <c r="B663">
        <v>12</v>
      </c>
      <c r="C663" t="s">
        <v>33</v>
      </c>
      <c r="D663" t="s">
        <v>46</v>
      </c>
      <c r="E663">
        <v>99000</v>
      </c>
      <c r="F663" s="2" t="s">
        <v>23</v>
      </c>
      <c r="G663" t="s">
        <v>34</v>
      </c>
      <c r="H663">
        <v>4</v>
      </c>
      <c r="I663" t="s">
        <v>25</v>
      </c>
      <c r="J663">
        <v>2</v>
      </c>
      <c r="K663" t="s">
        <v>52</v>
      </c>
      <c r="L663">
        <v>23</v>
      </c>
      <c r="M663" t="s">
        <v>27</v>
      </c>
      <c r="N663" t="s">
        <v>28</v>
      </c>
      <c r="O663">
        <v>1</v>
      </c>
      <c r="P663" t="s">
        <v>29</v>
      </c>
      <c r="Q663">
        <v>1</v>
      </c>
      <c r="R663" t="s">
        <v>27</v>
      </c>
      <c r="S663" t="s">
        <v>30</v>
      </c>
      <c r="T663" t="s">
        <v>31</v>
      </c>
    </row>
    <row r="664" spans="1:20" x14ac:dyDescent="0.35">
      <c r="A664" t="s">
        <v>722</v>
      </c>
      <c r="B664">
        <v>21</v>
      </c>
      <c r="C664" t="s">
        <v>33</v>
      </c>
      <c r="D664" t="s">
        <v>41</v>
      </c>
      <c r="E664">
        <v>246510</v>
      </c>
      <c r="F664" s="1" t="s">
        <v>1060</v>
      </c>
      <c r="G664" t="s">
        <v>24</v>
      </c>
      <c r="H664">
        <v>4</v>
      </c>
      <c r="I664" t="s">
        <v>25</v>
      </c>
      <c r="J664">
        <v>2</v>
      </c>
      <c r="K664" t="s">
        <v>26</v>
      </c>
      <c r="L664">
        <v>50</v>
      </c>
      <c r="M664" t="s">
        <v>27</v>
      </c>
      <c r="N664" t="s">
        <v>28</v>
      </c>
      <c r="O664">
        <v>2</v>
      </c>
      <c r="P664" t="s">
        <v>29</v>
      </c>
      <c r="Q664">
        <v>1</v>
      </c>
      <c r="R664" t="s">
        <v>27</v>
      </c>
      <c r="S664" t="s">
        <v>30</v>
      </c>
      <c r="T664" t="s">
        <v>31</v>
      </c>
    </row>
    <row r="665" spans="1:20" x14ac:dyDescent="0.35">
      <c r="A665" t="s">
        <v>723</v>
      </c>
      <c r="B665">
        <v>6</v>
      </c>
      <c r="C665" t="s">
        <v>45</v>
      </c>
      <c r="D665" t="s">
        <v>41</v>
      </c>
      <c r="E665">
        <v>115500</v>
      </c>
      <c r="F665" s="2" t="s">
        <v>1060</v>
      </c>
      <c r="G665" t="s">
        <v>57</v>
      </c>
      <c r="H665">
        <v>4</v>
      </c>
      <c r="I665" t="s">
        <v>25</v>
      </c>
      <c r="J665">
        <v>1</v>
      </c>
      <c r="K665" t="s">
        <v>42</v>
      </c>
      <c r="L665">
        <v>35</v>
      </c>
      <c r="M665" t="s">
        <v>86</v>
      </c>
      <c r="N665" t="s">
        <v>28</v>
      </c>
      <c r="O665">
        <v>2</v>
      </c>
      <c r="P665" t="s">
        <v>54</v>
      </c>
      <c r="Q665">
        <v>1</v>
      </c>
      <c r="R665" t="s">
        <v>30</v>
      </c>
      <c r="S665" t="s">
        <v>30</v>
      </c>
      <c r="T665" t="s">
        <v>31</v>
      </c>
    </row>
    <row r="666" spans="1:20" x14ac:dyDescent="0.35">
      <c r="A666" t="s">
        <v>724</v>
      </c>
      <c r="B666">
        <v>6</v>
      </c>
      <c r="C666" t="s">
        <v>21</v>
      </c>
      <c r="D666" t="s">
        <v>37</v>
      </c>
      <c r="E666">
        <v>115170</v>
      </c>
      <c r="F666" s="1" t="s">
        <v>1060</v>
      </c>
      <c r="G666" t="s">
        <v>34</v>
      </c>
      <c r="H666">
        <v>2</v>
      </c>
      <c r="I666" t="s">
        <v>35</v>
      </c>
      <c r="J666">
        <v>4</v>
      </c>
      <c r="K666" t="s">
        <v>42</v>
      </c>
      <c r="L666">
        <v>50</v>
      </c>
      <c r="M666" t="s">
        <v>27</v>
      </c>
      <c r="N666" t="s">
        <v>28</v>
      </c>
      <c r="O666">
        <v>1</v>
      </c>
      <c r="P666" t="s">
        <v>39</v>
      </c>
      <c r="Q666">
        <v>1</v>
      </c>
      <c r="R666" t="s">
        <v>27</v>
      </c>
      <c r="S666" t="s">
        <v>30</v>
      </c>
      <c r="T666" t="s">
        <v>31</v>
      </c>
    </row>
    <row r="667" spans="1:20" x14ac:dyDescent="0.35">
      <c r="A667" t="s">
        <v>725</v>
      </c>
      <c r="B667">
        <v>24</v>
      </c>
      <c r="C667" t="s">
        <v>21</v>
      </c>
      <c r="D667" t="s">
        <v>131</v>
      </c>
      <c r="E667">
        <v>694540</v>
      </c>
      <c r="F667" s="2" t="s">
        <v>1060</v>
      </c>
      <c r="G667" t="s">
        <v>57</v>
      </c>
      <c r="H667">
        <v>4</v>
      </c>
      <c r="I667" t="s">
        <v>25</v>
      </c>
      <c r="J667">
        <v>2</v>
      </c>
      <c r="K667" t="s">
        <v>47</v>
      </c>
      <c r="L667">
        <v>27</v>
      </c>
      <c r="M667" t="s">
        <v>69</v>
      </c>
      <c r="N667" t="s">
        <v>28</v>
      </c>
      <c r="O667">
        <v>2</v>
      </c>
      <c r="P667" t="s">
        <v>54</v>
      </c>
      <c r="Q667">
        <v>1</v>
      </c>
      <c r="R667" t="s">
        <v>30</v>
      </c>
      <c r="S667" t="s">
        <v>30</v>
      </c>
      <c r="T667" t="s">
        <v>31</v>
      </c>
    </row>
    <row r="668" spans="1:20" x14ac:dyDescent="0.35">
      <c r="A668" t="s">
        <v>726</v>
      </c>
      <c r="B668">
        <v>30</v>
      </c>
      <c r="C668" t="s">
        <v>81</v>
      </c>
      <c r="D668" t="s">
        <v>41</v>
      </c>
      <c r="E668">
        <v>384560</v>
      </c>
      <c r="F668" s="1" t="s">
        <v>1062</v>
      </c>
      <c r="G668" t="s">
        <v>34</v>
      </c>
      <c r="H668">
        <v>4</v>
      </c>
      <c r="I668" t="s">
        <v>25</v>
      </c>
      <c r="J668">
        <v>2</v>
      </c>
      <c r="K668" t="s">
        <v>52</v>
      </c>
      <c r="L668">
        <v>34</v>
      </c>
      <c r="M668" t="s">
        <v>86</v>
      </c>
      <c r="N668" t="s">
        <v>28</v>
      </c>
      <c r="O668">
        <v>1</v>
      </c>
      <c r="P668" t="s">
        <v>29</v>
      </c>
      <c r="Q668">
        <v>2</v>
      </c>
      <c r="R668" t="s">
        <v>30</v>
      </c>
      <c r="S668" t="s">
        <v>30</v>
      </c>
      <c r="T668" t="s">
        <v>31</v>
      </c>
    </row>
    <row r="669" spans="1:20" x14ac:dyDescent="0.35">
      <c r="A669" t="s">
        <v>727</v>
      </c>
      <c r="B669">
        <v>48</v>
      </c>
      <c r="C669" t="s">
        <v>81</v>
      </c>
      <c r="D669" t="s">
        <v>61</v>
      </c>
      <c r="E669">
        <v>396990</v>
      </c>
      <c r="F669" s="2" t="s">
        <v>1060</v>
      </c>
      <c r="G669" t="s">
        <v>34</v>
      </c>
      <c r="H669">
        <v>1</v>
      </c>
      <c r="I669" t="s">
        <v>35</v>
      </c>
      <c r="J669">
        <v>1</v>
      </c>
      <c r="K669" t="s">
        <v>26</v>
      </c>
      <c r="L669">
        <v>27</v>
      </c>
      <c r="M669" t="s">
        <v>86</v>
      </c>
      <c r="N669" t="s">
        <v>28</v>
      </c>
      <c r="O669">
        <v>1</v>
      </c>
      <c r="P669" t="s">
        <v>29</v>
      </c>
      <c r="Q669">
        <v>1</v>
      </c>
      <c r="R669" t="s">
        <v>27</v>
      </c>
      <c r="S669" t="s">
        <v>30</v>
      </c>
      <c r="T669" t="s">
        <v>31</v>
      </c>
    </row>
    <row r="670" spans="1:20" x14ac:dyDescent="0.35">
      <c r="A670" t="s">
        <v>728</v>
      </c>
      <c r="B670">
        <v>12</v>
      </c>
      <c r="C670" t="s">
        <v>21</v>
      </c>
      <c r="D670" t="s">
        <v>46</v>
      </c>
      <c r="E670">
        <v>532730</v>
      </c>
      <c r="F670" s="1" t="s">
        <v>1060</v>
      </c>
      <c r="G670" t="s">
        <v>24</v>
      </c>
      <c r="H670">
        <v>3</v>
      </c>
      <c r="I670" t="s">
        <v>25</v>
      </c>
      <c r="J670">
        <v>4</v>
      </c>
      <c r="K670" t="s">
        <v>42</v>
      </c>
      <c r="L670">
        <v>43</v>
      </c>
      <c r="M670" t="s">
        <v>27</v>
      </c>
      <c r="N670" t="s">
        <v>53</v>
      </c>
      <c r="O670">
        <v>2</v>
      </c>
      <c r="P670" t="s">
        <v>29</v>
      </c>
      <c r="Q670">
        <v>1</v>
      </c>
      <c r="R670" t="s">
        <v>30</v>
      </c>
      <c r="S670" t="s">
        <v>30</v>
      </c>
      <c r="T670" t="s">
        <v>31</v>
      </c>
    </row>
    <row r="671" spans="1:20" x14ac:dyDescent="0.35">
      <c r="A671" t="s">
        <v>729</v>
      </c>
      <c r="B671">
        <v>30</v>
      </c>
      <c r="C671" t="s">
        <v>21</v>
      </c>
      <c r="D671" t="s">
        <v>22</v>
      </c>
      <c r="E671">
        <v>331870</v>
      </c>
      <c r="F671" s="2" t="s">
        <v>1060</v>
      </c>
      <c r="G671" t="s">
        <v>24</v>
      </c>
      <c r="H671">
        <v>4</v>
      </c>
      <c r="I671" t="s">
        <v>25</v>
      </c>
      <c r="J671">
        <v>4</v>
      </c>
      <c r="K671" t="s">
        <v>42</v>
      </c>
      <c r="L671">
        <v>47</v>
      </c>
      <c r="M671" t="s">
        <v>27</v>
      </c>
      <c r="N671" t="s">
        <v>28</v>
      </c>
      <c r="O671">
        <v>1</v>
      </c>
      <c r="P671" t="s">
        <v>29</v>
      </c>
      <c r="Q671">
        <v>1</v>
      </c>
      <c r="R671" t="s">
        <v>27</v>
      </c>
      <c r="S671" t="s">
        <v>30</v>
      </c>
      <c r="T671" t="s">
        <v>31</v>
      </c>
    </row>
    <row r="672" spans="1:20" x14ac:dyDescent="0.35">
      <c r="A672" t="s">
        <v>730</v>
      </c>
      <c r="B672">
        <v>24</v>
      </c>
      <c r="C672" t="s">
        <v>21</v>
      </c>
      <c r="D672" t="s">
        <v>61</v>
      </c>
      <c r="E672">
        <v>455290</v>
      </c>
      <c r="F672" s="1" t="s">
        <v>1063</v>
      </c>
      <c r="G672" t="s">
        <v>34</v>
      </c>
      <c r="H672">
        <v>3</v>
      </c>
      <c r="I672" t="s">
        <v>25</v>
      </c>
      <c r="J672">
        <v>3</v>
      </c>
      <c r="K672" t="s">
        <v>42</v>
      </c>
      <c r="L672">
        <v>27</v>
      </c>
      <c r="M672" t="s">
        <v>27</v>
      </c>
      <c r="N672" t="s">
        <v>28</v>
      </c>
      <c r="O672">
        <v>2</v>
      </c>
      <c r="P672" t="s">
        <v>39</v>
      </c>
      <c r="Q672">
        <v>1</v>
      </c>
      <c r="R672" t="s">
        <v>30</v>
      </c>
      <c r="S672" t="s">
        <v>30</v>
      </c>
      <c r="T672" t="s">
        <v>31</v>
      </c>
    </row>
    <row r="673" spans="1:20" x14ac:dyDescent="0.35">
      <c r="A673" t="s">
        <v>731</v>
      </c>
      <c r="B673">
        <v>36</v>
      </c>
      <c r="C673" t="s">
        <v>33</v>
      </c>
      <c r="D673" t="s">
        <v>61</v>
      </c>
      <c r="E673">
        <v>631620</v>
      </c>
      <c r="F673" s="2" t="s">
        <v>1063</v>
      </c>
      <c r="G673" t="s">
        <v>38</v>
      </c>
      <c r="H673">
        <v>2</v>
      </c>
      <c r="I673" t="s">
        <v>25</v>
      </c>
      <c r="J673">
        <v>2</v>
      </c>
      <c r="K673" t="s">
        <v>52</v>
      </c>
      <c r="L673">
        <v>31</v>
      </c>
      <c r="M673" t="s">
        <v>27</v>
      </c>
      <c r="N673" t="s">
        <v>28</v>
      </c>
      <c r="O673">
        <v>2</v>
      </c>
      <c r="P673" t="s">
        <v>29</v>
      </c>
      <c r="Q673">
        <v>1</v>
      </c>
      <c r="R673" t="s">
        <v>30</v>
      </c>
      <c r="S673" t="s">
        <v>30</v>
      </c>
      <c r="T673" t="s">
        <v>31</v>
      </c>
    </row>
    <row r="674" spans="1:20" x14ac:dyDescent="0.35">
      <c r="A674" t="s">
        <v>732</v>
      </c>
      <c r="B674">
        <v>60</v>
      </c>
      <c r="C674" t="s">
        <v>33</v>
      </c>
      <c r="D674" t="s">
        <v>46</v>
      </c>
      <c r="E674">
        <v>1140260</v>
      </c>
      <c r="F674" s="1" t="s">
        <v>1060</v>
      </c>
      <c r="G674" t="s">
        <v>24</v>
      </c>
      <c r="H674">
        <v>2</v>
      </c>
      <c r="I674" t="s">
        <v>25</v>
      </c>
      <c r="J674">
        <v>4</v>
      </c>
      <c r="K674" t="s">
        <v>42</v>
      </c>
      <c r="L674">
        <v>42</v>
      </c>
      <c r="M674" t="s">
        <v>27</v>
      </c>
      <c r="N674" t="s">
        <v>28</v>
      </c>
      <c r="O674">
        <v>1</v>
      </c>
      <c r="P674" t="s">
        <v>54</v>
      </c>
      <c r="Q674">
        <v>1</v>
      </c>
      <c r="R674" t="s">
        <v>30</v>
      </c>
      <c r="S674" t="s">
        <v>30</v>
      </c>
      <c r="T674" t="s">
        <v>31</v>
      </c>
    </row>
    <row r="675" spans="1:20" x14ac:dyDescent="0.35">
      <c r="A675" t="s">
        <v>733</v>
      </c>
      <c r="B675">
        <v>6</v>
      </c>
      <c r="C675" t="s">
        <v>21</v>
      </c>
      <c r="D675" t="s">
        <v>46</v>
      </c>
      <c r="E675">
        <v>228800</v>
      </c>
      <c r="F675" s="2" t="s">
        <v>1061</v>
      </c>
      <c r="G675" t="s">
        <v>34</v>
      </c>
      <c r="H675">
        <v>1</v>
      </c>
      <c r="I675" t="s">
        <v>25</v>
      </c>
      <c r="J675">
        <v>2</v>
      </c>
      <c r="K675" t="s">
        <v>52</v>
      </c>
      <c r="L675">
        <v>24</v>
      </c>
      <c r="M675" t="s">
        <v>27</v>
      </c>
      <c r="N675" t="s">
        <v>28</v>
      </c>
      <c r="O675">
        <v>1</v>
      </c>
      <c r="P675" t="s">
        <v>29</v>
      </c>
      <c r="Q675">
        <v>1</v>
      </c>
      <c r="R675" t="s">
        <v>27</v>
      </c>
      <c r="S675" t="s">
        <v>30</v>
      </c>
      <c r="T675" t="s">
        <v>31</v>
      </c>
    </row>
    <row r="676" spans="1:20" x14ac:dyDescent="0.35">
      <c r="A676" t="s">
        <v>734</v>
      </c>
      <c r="B676">
        <v>21</v>
      </c>
      <c r="C676" t="s">
        <v>45</v>
      </c>
      <c r="D676" t="s">
        <v>61</v>
      </c>
      <c r="E676">
        <v>283800</v>
      </c>
      <c r="F676" s="1" t="s">
        <v>1061</v>
      </c>
      <c r="G676" t="s">
        <v>59</v>
      </c>
      <c r="H676">
        <v>4</v>
      </c>
      <c r="I676" t="s">
        <v>25</v>
      </c>
      <c r="J676">
        <v>2</v>
      </c>
      <c r="K676" t="s">
        <v>26</v>
      </c>
      <c r="L676">
        <v>41</v>
      </c>
      <c r="M676" t="s">
        <v>69</v>
      </c>
      <c r="N676" t="s">
        <v>28</v>
      </c>
      <c r="O676">
        <v>1</v>
      </c>
      <c r="P676" t="s">
        <v>39</v>
      </c>
      <c r="Q676">
        <v>2</v>
      </c>
      <c r="R676" t="s">
        <v>27</v>
      </c>
      <c r="S676" t="s">
        <v>30</v>
      </c>
      <c r="T676" t="s">
        <v>31</v>
      </c>
    </row>
    <row r="677" spans="1:20" x14ac:dyDescent="0.35">
      <c r="A677" t="s">
        <v>735</v>
      </c>
      <c r="B677">
        <v>30</v>
      </c>
      <c r="C677" t="s">
        <v>21</v>
      </c>
      <c r="D677" t="s">
        <v>22</v>
      </c>
      <c r="E677">
        <v>498300</v>
      </c>
      <c r="F677" s="2" t="s">
        <v>1060</v>
      </c>
      <c r="G677" t="s">
        <v>38</v>
      </c>
      <c r="H677">
        <v>4</v>
      </c>
      <c r="I677" t="s">
        <v>35</v>
      </c>
      <c r="J677">
        <v>4</v>
      </c>
      <c r="K677" t="s">
        <v>52</v>
      </c>
      <c r="L677">
        <v>26</v>
      </c>
      <c r="M677" t="s">
        <v>27</v>
      </c>
      <c r="N677" t="s">
        <v>53</v>
      </c>
      <c r="O677">
        <v>1</v>
      </c>
      <c r="P677" t="s">
        <v>54</v>
      </c>
      <c r="Q677">
        <v>1</v>
      </c>
      <c r="R677" t="s">
        <v>30</v>
      </c>
      <c r="S677" t="s">
        <v>30</v>
      </c>
      <c r="T677" t="s">
        <v>31</v>
      </c>
    </row>
    <row r="678" spans="1:20" x14ac:dyDescent="0.35">
      <c r="A678" t="s">
        <v>736</v>
      </c>
      <c r="B678">
        <v>24</v>
      </c>
      <c r="C678" t="s">
        <v>21</v>
      </c>
      <c r="D678" t="s">
        <v>41</v>
      </c>
      <c r="E678">
        <v>566500</v>
      </c>
      <c r="F678" s="1" t="s">
        <v>1060</v>
      </c>
      <c r="G678" t="s">
        <v>24</v>
      </c>
      <c r="H678">
        <v>4</v>
      </c>
      <c r="I678" t="s">
        <v>25</v>
      </c>
      <c r="J678">
        <v>4</v>
      </c>
      <c r="K678" t="s">
        <v>52</v>
      </c>
      <c r="L678">
        <v>33</v>
      </c>
      <c r="M678" t="s">
        <v>27</v>
      </c>
      <c r="N678" t="s">
        <v>28</v>
      </c>
      <c r="O678">
        <v>1</v>
      </c>
      <c r="P678" t="s">
        <v>29</v>
      </c>
      <c r="Q678">
        <v>1</v>
      </c>
      <c r="R678" t="s">
        <v>30</v>
      </c>
      <c r="S678" t="s">
        <v>30</v>
      </c>
      <c r="T678" t="s">
        <v>31</v>
      </c>
    </row>
    <row r="679" spans="1:20" x14ac:dyDescent="0.35">
      <c r="A679" t="s">
        <v>737</v>
      </c>
      <c r="B679">
        <v>72</v>
      </c>
      <c r="C679" t="s">
        <v>33</v>
      </c>
      <c r="D679" t="s">
        <v>22</v>
      </c>
      <c r="E679">
        <v>615450</v>
      </c>
      <c r="F679" s="2" t="s">
        <v>1063</v>
      </c>
      <c r="G679" t="s">
        <v>34</v>
      </c>
      <c r="H679">
        <v>2</v>
      </c>
      <c r="I679" t="s">
        <v>25</v>
      </c>
      <c r="J679">
        <v>2</v>
      </c>
      <c r="K679" t="s">
        <v>52</v>
      </c>
      <c r="L679">
        <v>24</v>
      </c>
      <c r="M679" t="s">
        <v>27</v>
      </c>
      <c r="N679" t="s">
        <v>28</v>
      </c>
      <c r="O679">
        <v>1</v>
      </c>
      <c r="P679" t="s">
        <v>29</v>
      </c>
      <c r="Q679">
        <v>1</v>
      </c>
      <c r="R679" t="s">
        <v>27</v>
      </c>
      <c r="S679" t="s">
        <v>30</v>
      </c>
      <c r="T679" t="s">
        <v>31</v>
      </c>
    </row>
    <row r="680" spans="1:20" x14ac:dyDescent="0.35">
      <c r="A680" t="s">
        <v>738</v>
      </c>
      <c r="B680">
        <v>24</v>
      </c>
      <c r="C680" t="s">
        <v>33</v>
      </c>
      <c r="D680" t="s">
        <v>22</v>
      </c>
      <c r="E680">
        <v>262240</v>
      </c>
      <c r="F680" s="1" t="s">
        <v>1060</v>
      </c>
      <c r="G680" t="s">
        <v>24</v>
      </c>
      <c r="H680">
        <v>4</v>
      </c>
      <c r="I680" t="s">
        <v>25</v>
      </c>
      <c r="J680">
        <v>4</v>
      </c>
      <c r="K680" t="s">
        <v>26</v>
      </c>
      <c r="L680">
        <v>64</v>
      </c>
      <c r="M680" t="s">
        <v>69</v>
      </c>
      <c r="N680" t="s">
        <v>53</v>
      </c>
      <c r="O680">
        <v>1</v>
      </c>
      <c r="P680" t="s">
        <v>39</v>
      </c>
      <c r="Q680">
        <v>1</v>
      </c>
      <c r="R680" t="s">
        <v>27</v>
      </c>
      <c r="S680" t="s">
        <v>30</v>
      </c>
      <c r="T680" t="s">
        <v>31</v>
      </c>
    </row>
    <row r="681" spans="1:20" x14ac:dyDescent="0.35">
      <c r="A681" t="s">
        <v>739</v>
      </c>
      <c r="B681">
        <v>18</v>
      </c>
      <c r="C681" t="s">
        <v>33</v>
      </c>
      <c r="D681" t="s">
        <v>22</v>
      </c>
      <c r="E681">
        <v>159830</v>
      </c>
      <c r="F681" s="2" t="s">
        <v>1060</v>
      </c>
      <c r="G681" t="s">
        <v>59</v>
      </c>
      <c r="H681">
        <v>3</v>
      </c>
      <c r="I681" t="s">
        <v>35</v>
      </c>
      <c r="J681">
        <v>1</v>
      </c>
      <c r="K681" t="s">
        <v>26</v>
      </c>
      <c r="L681">
        <v>26</v>
      </c>
      <c r="M681" t="s">
        <v>27</v>
      </c>
      <c r="N681" t="s">
        <v>28</v>
      </c>
      <c r="O681">
        <v>1</v>
      </c>
      <c r="P681" t="s">
        <v>29</v>
      </c>
      <c r="Q681">
        <v>1</v>
      </c>
      <c r="R681" t="s">
        <v>27</v>
      </c>
      <c r="S681" t="s">
        <v>30</v>
      </c>
      <c r="T681" t="s">
        <v>31</v>
      </c>
    </row>
    <row r="682" spans="1:20" x14ac:dyDescent="0.35">
      <c r="A682" t="s">
        <v>740</v>
      </c>
      <c r="B682">
        <v>6</v>
      </c>
      <c r="C682" t="s">
        <v>33</v>
      </c>
      <c r="D682" t="s">
        <v>37</v>
      </c>
      <c r="E682">
        <v>169180</v>
      </c>
      <c r="F682" s="1" t="s">
        <v>1060</v>
      </c>
      <c r="G682" t="s">
        <v>59</v>
      </c>
      <c r="H682">
        <v>1</v>
      </c>
      <c r="I682" t="s">
        <v>35</v>
      </c>
      <c r="J682">
        <v>2</v>
      </c>
      <c r="K682" t="s">
        <v>47</v>
      </c>
      <c r="L682">
        <v>56</v>
      </c>
      <c r="M682" t="s">
        <v>27</v>
      </c>
      <c r="N682" t="s">
        <v>28</v>
      </c>
      <c r="O682">
        <v>1</v>
      </c>
      <c r="P682" t="s">
        <v>29</v>
      </c>
      <c r="Q682">
        <v>1</v>
      </c>
      <c r="R682" t="s">
        <v>27</v>
      </c>
      <c r="S682" t="s">
        <v>30</v>
      </c>
      <c r="T682" t="s">
        <v>31</v>
      </c>
    </row>
    <row r="683" spans="1:20" x14ac:dyDescent="0.35">
      <c r="A683" t="s">
        <v>741</v>
      </c>
      <c r="B683">
        <v>12</v>
      </c>
      <c r="C683" t="s">
        <v>33</v>
      </c>
      <c r="D683" t="s">
        <v>22</v>
      </c>
      <c r="E683">
        <v>250690</v>
      </c>
      <c r="F683" s="2" t="s">
        <v>23</v>
      </c>
      <c r="G683" t="s">
        <v>34</v>
      </c>
      <c r="H683">
        <v>4</v>
      </c>
      <c r="I683" t="s">
        <v>25</v>
      </c>
      <c r="J683">
        <v>4</v>
      </c>
      <c r="K683" t="s">
        <v>47</v>
      </c>
      <c r="L683">
        <v>37</v>
      </c>
      <c r="M683" t="s">
        <v>27</v>
      </c>
      <c r="N683" t="s">
        <v>43</v>
      </c>
      <c r="O683">
        <v>1</v>
      </c>
      <c r="P683" t="s">
        <v>29</v>
      </c>
      <c r="Q683">
        <v>1</v>
      </c>
      <c r="R683" t="s">
        <v>30</v>
      </c>
      <c r="S683" t="s">
        <v>30</v>
      </c>
      <c r="T683" t="s">
        <v>31</v>
      </c>
    </row>
    <row r="684" spans="1:20" x14ac:dyDescent="0.35">
      <c r="A684" t="s">
        <v>742</v>
      </c>
      <c r="B684">
        <v>15</v>
      </c>
      <c r="C684" t="s">
        <v>45</v>
      </c>
      <c r="D684" t="s">
        <v>22</v>
      </c>
      <c r="E684">
        <v>162580</v>
      </c>
      <c r="F684" s="1" t="s">
        <v>1060</v>
      </c>
      <c r="G684" t="s">
        <v>34</v>
      </c>
      <c r="H684">
        <v>4</v>
      </c>
      <c r="I684" t="s">
        <v>25</v>
      </c>
      <c r="J684">
        <v>3</v>
      </c>
      <c r="K684" t="s">
        <v>26</v>
      </c>
      <c r="L684">
        <v>33</v>
      </c>
      <c r="M684" t="s">
        <v>69</v>
      </c>
      <c r="N684" t="s">
        <v>28</v>
      </c>
      <c r="O684">
        <v>2</v>
      </c>
      <c r="P684" t="s">
        <v>29</v>
      </c>
      <c r="Q684">
        <v>1</v>
      </c>
      <c r="R684" t="s">
        <v>27</v>
      </c>
      <c r="S684" t="s">
        <v>30</v>
      </c>
      <c r="T684" t="s">
        <v>31</v>
      </c>
    </row>
    <row r="685" spans="1:20" x14ac:dyDescent="0.35">
      <c r="A685" t="s">
        <v>743</v>
      </c>
      <c r="B685">
        <v>24</v>
      </c>
      <c r="C685" t="s">
        <v>21</v>
      </c>
      <c r="D685" t="s">
        <v>22</v>
      </c>
      <c r="E685">
        <v>561330</v>
      </c>
      <c r="F685" s="2" t="s">
        <v>1060</v>
      </c>
      <c r="G685" t="s">
        <v>59</v>
      </c>
      <c r="H685">
        <v>3</v>
      </c>
      <c r="I685" t="s">
        <v>25</v>
      </c>
      <c r="J685">
        <v>3</v>
      </c>
      <c r="K685" t="s">
        <v>47</v>
      </c>
      <c r="L685">
        <v>47</v>
      </c>
      <c r="M685" t="s">
        <v>27</v>
      </c>
      <c r="N685" t="s">
        <v>43</v>
      </c>
      <c r="O685">
        <v>3</v>
      </c>
      <c r="P685" t="s">
        <v>29</v>
      </c>
      <c r="Q685">
        <v>1</v>
      </c>
      <c r="R685" t="s">
        <v>30</v>
      </c>
      <c r="S685" t="s">
        <v>30</v>
      </c>
      <c r="T685" t="s">
        <v>31</v>
      </c>
    </row>
    <row r="686" spans="1:20" x14ac:dyDescent="0.35">
      <c r="A686" t="s">
        <v>744</v>
      </c>
      <c r="B686">
        <v>36</v>
      </c>
      <c r="C686" t="s">
        <v>45</v>
      </c>
      <c r="D686" t="s">
        <v>61</v>
      </c>
      <c r="E686">
        <v>1084270</v>
      </c>
      <c r="F686" s="1" t="s">
        <v>1063</v>
      </c>
      <c r="G686" t="s">
        <v>38</v>
      </c>
      <c r="H686">
        <v>1</v>
      </c>
      <c r="I686" t="s">
        <v>25</v>
      </c>
      <c r="J686">
        <v>3</v>
      </c>
      <c r="K686" t="s">
        <v>42</v>
      </c>
      <c r="L686">
        <v>31</v>
      </c>
      <c r="M686" t="s">
        <v>27</v>
      </c>
      <c r="N686" t="s">
        <v>28</v>
      </c>
      <c r="O686">
        <v>2</v>
      </c>
      <c r="P686" t="s">
        <v>39</v>
      </c>
      <c r="Q686">
        <v>2</v>
      </c>
      <c r="R686" t="s">
        <v>30</v>
      </c>
      <c r="S686" t="s">
        <v>30</v>
      </c>
      <c r="T686" t="s">
        <v>31</v>
      </c>
    </row>
    <row r="687" spans="1:20" x14ac:dyDescent="0.35">
      <c r="A687" t="s">
        <v>745</v>
      </c>
      <c r="B687">
        <v>60</v>
      </c>
      <c r="C687" t="s">
        <v>33</v>
      </c>
      <c r="D687" t="s">
        <v>46</v>
      </c>
      <c r="E687">
        <v>717970</v>
      </c>
      <c r="F687" s="2" t="s">
        <v>23</v>
      </c>
      <c r="G687" t="s">
        <v>34</v>
      </c>
      <c r="H687">
        <v>4</v>
      </c>
      <c r="I687" t="s">
        <v>25</v>
      </c>
      <c r="J687">
        <v>4</v>
      </c>
      <c r="K687" t="s">
        <v>47</v>
      </c>
      <c r="L687">
        <v>34</v>
      </c>
      <c r="M687" t="s">
        <v>27</v>
      </c>
      <c r="N687" t="s">
        <v>43</v>
      </c>
      <c r="O687">
        <v>1</v>
      </c>
      <c r="P687" t="s">
        <v>29</v>
      </c>
      <c r="Q687">
        <v>2</v>
      </c>
      <c r="R687" t="s">
        <v>30</v>
      </c>
      <c r="S687" t="s">
        <v>30</v>
      </c>
      <c r="T687" t="s">
        <v>31</v>
      </c>
    </row>
    <row r="688" spans="1:20" x14ac:dyDescent="0.35">
      <c r="A688" t="s">
        <v>746</v>
      </c>
      <c r="B688">
        <v>10</v>
      </c>
      <c r="C688" t="s">
        <v>21</v>
      </c>
      <c r="D688" t="s">
        <v>22</v>
      </c>
      <c r="E688">
        <v>148170</v>
      </c>
      <c r="F688" s="1" t="s">
        <v>23</v>
      </c>
      <c r="G688" t="s">
        <v>38</v>
      </c>
      <c r="H688">
        <v>4</v>
      </c>
      <c r="I688" t="s">
        <v>25</v>
      </c>
      <c r="J688">
        <v>2</v>
      </c>
      <c r="K688" t="s">
        <v>42</v>
      </c>
      <c r="L688">
        <v>27</v>
      </c>
      <c r="M688" t="s">
        <v>27</v>
      </c>
      <c r="N688" t="s">
        <v>28</v>
      </c>
      <c r="O688">
        <v>2</v>
      </c>
      <c r="P688" t="s">
        <v>29</v>
      </c>
      <c r="Q688">
        <v>1</v>
      </c>
      <c r="R688" t="s">
        <v>30</v>
      </c>
      <c r="S688" t="s">
        <v>30</v>
      </c>
      <c r="T688" t="s">
        <v>31</v>
      </c>
    </row>
    <row r="689" spans="1:20" x14ac:dyDescent="0.35">
      <c r="A689" t="s">
        <v>747</v>
      </c>
      <c r="B689">
        <v>36</v>
      </c>
      <c r="C689" t="s">
        <v>45</v>
      </c>
      <c r="D689" t="s">
        <v>46</v>
      </c>
      <c r="E689">
        <v>314820</v>
      </c>
      <c r="F689" s="2" t="s">
        <v>1063</v>
      </c>
      <c r="G689" t="s">
        <v>24</v>
      </c>
      <c r="H689">
        <v>4</v>
      </c>
      <c r="I689" t="s">
        <v>25</v>
      </c>
      <c r="J689">
        <v>3</v>
      </c>
      <c r="K689" t="s">
        <v>47</v>
      </c>
      <c r="L689">
        <v>30</v>
      </c>
      <c r="M689" t="s">
        <v>27</v>
      </c>
      <c r="N689" t="s">
        <v>43</v>
      </c>
      <c r="O689">
        <v>1</v>
      </c>
      <c r="P689" t="s">
        <v>29</v>
      </c>
      <c r="Q689">
        <v>1</v>
      </c>
      <c r="R689" t="s">
        <v>27</v>
      </c>
      <c r="S689" t="s">
        <v>30</v>
      </c>
      <c r="T689" t="s">
        <v>31</v>
      </c>
    </row>
    <row r="690" spans="1:20" x14ac:dyDescent="0.35">
      <c r="A690" t="s">
        <v>748</v>
      </c>
      <c r="B690">
        <v>9</v>
      </c>
      <c r="C690" t="s">
        <v>33</v>
      </c>
      <c r="D690" t="s">
        <v>22</v>
      </c>
      <c r="E690">
        <v>302830</v>
      </c>
      <c r="F690" s="1" t="s">
        <v>1063</v>
      </c>
      <c r="G690" t="s">
        <v>24</v>
      </c>
      <c r="H690">
        <v>3</v>
      </c>
      <c r="I690" t="s">
        <v>25</v>
      </c>
      <c r="J690">
        <v>4</v>
      </c>
      <c r="K690" t="s">
        <v>52</v>
      </c>
      <c r="L690">
        <v>35</v>
      </c>
      <c r="M690" t="s">
        <v>27</v>
      </c>
      <c r="N690" t="s">
        <v>28</v>
      </c>
      <c r="O690">
        <v>1</v>
      </c>
      <c r="P690" t="s">
        <v>29</v>
      </c>
      <c r="Q690">
        <v>1</v>
      </c>
      <c r="R690" t="s">
        <v>30</v>
      </c>
      <c r="S690" t="s">
        <v>30</v>
      </c>
      <c r="T690" t="s">
        <v>31</v>
      </c>
    </row>
    <row r="691" spans="1:20" x14ac:dyDescent="0.35">
      <c r="A691" t="s">
        <v>749</v>
      </c>
      <c r="B691">
        <v>12</v>
      </c>
      <c r="C691" t="s">
        <v>33</v>
      </c>
      <c r="D691" t="s">
        <v>46</v>
      </c>
      <c r="E691">
        <v>401610</v>
      </c>
      <c r="F691" s="2" t="s">
        <v>1062</v>
      </c>
      <c r="G691" t="s">
        <v>34</v>
      </c>
      <c r="H691">
        <v>1</v>
      </c>
      <c r="I691" t="s">
        <v>25</v>
      </c>
      <c r="J691">
        <v>3</v>
      </c>
      <c r="K691" t="s">
        <v>42</v>
      </c>
      <c r="L691">
        <v>31</v>
      </c>
      <c r="M691" t="s">
        <v>27</v>
      </c>
      <c r="N691" t="s">
        <v>28</v>
      </c>
      <c r="O691">
        <v>1</v>
      </c>
      <c r="P691" t="s">
        <v>29</v>
      </c>
      <c r="Q691">
        <v>2</v>
      </c>
      <c r="R691" t="s">
        <v>27</v>
      </c>
      <c r="S691" t="s">
        <v>30</v>
      </c>
      <c r="T691" t="s">
        <v>31</v>
      </c>
    </row>
    <row r="692" spans="1:20" x14ac:dyDescent="0.35">
      <c r="A692" t="s">
        <v>750</v>
      </c>
      <c r="B692">
        <v>15</v>
      </c>
      <c r="C692" t="s">
        <v>21</v>
      </c>
      <c r="D692" t="s">
        <v>41</v>
      </c>
      <c r="E692">
        <v>107250</v>
      </c>
      <c r="F692" s="1" t="s">
        <v>1060</v>
      </c>
      <c r="G692" t="s">
        <v>34</v>
      </c>
      <c r="H692">
        <v>2</v>
      </c>
      <c r="I692" t="s">
        <v>25</v>
      </c>
      <c r="J692">
        <v>3</v>
      </c>
      <c r="K692" t="s">
        <v>42</v>
      </c>
      <c r="L692">
        <v>25</v>
      </c>
      <c r="M692" t="s">
        <v>27</v>
      </c>
      <c r="N692" t="s">
        <v>28</v>
      </c>
      <c r="O692">
        <v>2</v>
      </c>
      <c r="P692" t="s">
        <v>29</v>
      </c>
      <c r="Q692">
        <v>1</v>
      </c>
      <c r="R692" t="s">
        <v>27</v>
      </c>
      <c r="S692" t="s">
        <v>30</v>
      </c>
      <c r="T692" t="s">
        <v>31</v>
      </c>
    </row>
    <row r="693" spans="1:20" x14ac:dyDescent="0.35">
      <c r="A693" t="s">
        <v>751</v>
      </c>
      <c r="B693">
        <v>15</v>
      </c>
      <c r="C693" t="s">
        <v>33</v>
      </c>
      <c r="D693" t="s">
        <v>99</v>
      </c>
      <c r="E693">
        <v>289410</v>
      </c>
      <c r="F693" s="2" t="s">
        <v>1063</v>
      </c>
      <c r="G693" t="s">
        <v>34</v>
      </c>
      <c r="H693">
        <v>3</v>
      </c>
      <c r="I693" t="s">
        <v>35</v>
      </c>
      <c r="J693">
        <v>2</v>
      </c>
      <c r="K693" t="s">
        <v>26</v>
      </c>
      <c r="L693">
        <v>25</v>
      </c>
      <c r="M693" t="s">
        <v>27</v>
      </c>
      <c r="N693" t="s">
        <v>28</v>
      </c>
      <c r="O693">
        <v>1</v>
      </c>
      <c r="P693" t="s">
        <v>39</v>
      </c>
      <c r="Q693">
        <v>1</v>
      </c>
      <c r="R693" t="s">
        <v>27</v>
      </c>
      <c r="S693" t="s">
        <v>30</v>
      </c>
      <c r="T693" t="s">
        <v>31</v>
      </c>
    </row>
    <row r="694" spans="1:20" x14ac:dyDescent="0.35">
      <c r="A694" t="s">
        <v>752</v>
      </c>
      <c r="B694">
        <v>24</v>
      </c>
      <c r="C694" t="s">
        <v>33</v>
      </c>
      <c r="D694" t="s">
        <v>22</v>
      </c>
      <c r="E694">
        <v>318560</v>
      </c>
      <c r="F694" s="1" t="s">
        <v>1063</v>
      </c>
      <c r="G694" t="s">
        <v>59</v>
      </c>
      <c r="H694">
        <v>2</v>
      </c>
      <c r="I694" t="s">
        <v>25</v>
      </c>
      <c r="J694">
        <v>1</v>
      </c>
      <c r="K694" t="s">
        <v>52</v>
      </c>
      <c r="L694">
        <v>29</v>
      </c>
      <c r="M694" t="s">
        <v>27</v>
      </c>
      <c r="N694" t="s">
        <v>28</v>
      </c>
      <c r="O694">
        <v>1</v>
      </c>
      <c r="P694" t="s">
        <v>29</v>
      </c>
      <c r="Q694">
        <v>1</v>
      </c>
      <c r="R694" t="s">
        <v>27</v>
      </c>
      <c r="S694" t="s">
        <v>30</v>
      </c>
      <c r="T694" t="s">
        <v>31</v>
      </c>
    </row>
    <row r="695" spans="1:20" x14ac:dyDescent="0.35">
      <c r="A695" t="s">
        <v>753</v>
      </c>
      <c r="B695">
        <v>6</v>
      </c>
      <c r="C695" t="s">
        <v>21</v>
      </c>
      <c r="D695" t="s">
        <v>46</v>
      </c>
      <c r="E695">
        <v>518760</v>
      </c>
      <c r="F695" s="2" t="s">
        <v>23</v>
      </c>
      <c r="G695" t="s">
        <v>59</v>
      </c>
      <c r="H695">
        <v>1</v>
      </c>
      <c r="I695" t="s">
        <v>25</v>
      </c>
      <c r="J695">
        <v>3</v>
      </c>
      <c r="K695" t="s">
        <v>26</v>
      </c>
      <c r="L695">
        <v>44</v>
      </c>
      <c r="M695" t="s">
        <v>27</v>
      </c>
      <c r="N695" t="s">
        <v>28</v>
      </c>
      <c r="O695">
        <v>2</v>
      </c>
      <c r="P695" t="s">
        <v>39</v>
      </c>
      <c r="Q695">
        <v>2</v>
      </c>
      <c r="R695" t="s">
        <v>27</v>
      </c>
      <c r="S695" t="s">
        <v>30</v>
      </c>
      <c r="T695" t="s">
        <v>31</v>
      </c>
    </row>
    <row r="696" spans="1:20" x14ac:dyDescent="0.35">
      <c r="A696" t="s">
        <v>754</v>
      </c>
      <c r="B696">
        <v>24</v>
      </c>
      <c r="C696" t="s">
        <v>33</v>
      </c>
      <c r="D696" t="s">
        <v>22</v>
      </c>
      <c r="E696">
        <v>251240</v>
      </c>
      <c r="F696" s="1" t="s">
        <v>1060</v>
      </c>
      <c r="G696" t="s">
        <v>38</v>
      </c>
      <c r="H696">
        <v>4</v>
      </c>
      <c r="I696" t="s">
        <v>25</v>
      </c>
      <c r="J696">
        <v>2</v>
      </c>
      <c r="K696" t="s">
        <v>52</v>
      </c>
      <c r="L696">
        <v>28</v>
      </c>
      <c r="M696" t="s">
        <v>27</v>
      </c>
      <c r="N696" t="s">
        <v>28</v>
      </c>
      <c r="O696">
        <v>1</v>
      </c>
      <c r="P696" t="s">
        <v>29</v>
      </c>
      <c r="Q696">
        <v>1</v>
      </c>
      <c r="R696" t="s">
        <v>30</v>
      </c>
      <c r="S696" t="s">
        <v>30</v>
      </c>
      <c r="T696" t="s">
        <v>31</v>
      </c>
    </row>
    <row r="697" spans="1:20" x14ac:dyDescent="0.35">
      <c r="A697" t="s">
        <v>755</v>
      </c>
      <c r="B697">
        <v>6</v>
      </c>
      <c r="C697" t="s">
        <v>33</v>
      </c>
      <c r="D697" t="s">
        <v>51</v>
      </c>
      <c r="E697">
        <v>135960</v>
      </c>
      <c r="F697" s="2" t="s">
        <v>1061</v>
      </c>
      <c r="G697" t="s">
        <v>34</v>
      </c>
      <c r="H697">
        <v>2</v>
      </c>
      <c r="I697" t="s">
        <v>25</v>
      </c>
      <c r="J697">
        <v>4</v>
      </c>
      <c r="K697" t="s">
        <v>42</v>
      </c>
      <c r="L697">
        <v>50</v>
      </c>
      <c r="M697" t="s">
        <v>27</v>
      </c>
      <c r="N697" t="s">
        <v>53</v>
      </c>
      <c r="O697">
        <v>1</v>
      </c>
      <c r="P697" t="s">
        <v>29</v>
      </c>
      <c r="Q697">
        <v>1</v>
      </c>
      <c r="R697" t="s">
        <v>27</v>
      </c>
      <c r="S697" t="s">
        <v>30</v>
      </c>
      <c r="T697" t="s">
        <v>31</v>
      </c>
    </row>
    <row r="698" spans="1:20" x14ac:dyDescent="0.35">
      <c r="A698" t="s">
        <v>756</v>
      </c>
      <c r="B698">
        <v>12</v>
      </c>
      <c r="C698" t="s">
        <v>33</v>
      </c>
      <c r="D698" t="s">
        <v>22</v>
      </c>
      <c r="E698">
        <v>121330</v>
      </c>
      <c r="F698" s="1" t="s">
        <v>1060</v>
      </c>
      <c r="G698" t="s">
        <v>38</v>
      </c>
      <c r="H698">
        <v>4</v>
      </c>
      <c r="I698" t="s">
        <v>25</v>
      </c>
      <c r="J698">
        <v>3</v>
      </c>
      <c r="K698" t="s">
        <v>26</v>
      </c>
      <c r="L698">
        <v>29</v>
      </c>
      <c r="M698" t="s">
        <v>27</v>
      </c>
      <c r="N698" t="s">
        <v>28</v>
      </c>
      <c r="O698">
        <v>2</v>
      </c>
      <c r="P698" t="s">
        <v>29</v>
      </c>
      <c r="Q698">
        <v>1</v>
      </c>
      <c r="R698" t="s">
        <v>27</v>
      </c>
      <c r="S698" t="s">
        <v>75</v>
      </c>
      <c r="T698" t="s">
        <v>31</v>
      </c>
    </row>
    <row r="699" spans="1:20" x14ac:dyDescent="0.35">
      <c r="A699" t="s">
        <v>757</v>
      </c>
      <c r="B699">
        <v>12</v>
      </c>
      <c r="C699" t="s">
        <v>21</v>
      </c>
      <c r="D699" t="s">
        <v>46</v>
      </c>
      <c r="E699">
        <v>101860</v>
      </c>
      <c r="F699" s="2" t="s">
        <v>1060</v>
      </c>
      <c r="G699" t="s">
        <v>57</v>
      </c>
      <c r="H699">
        <v>1</v>
      </c>
      <c r="I699" t="s">
        <v>35</v>
      </c>
      <c r="J699">
        <v>2</v>
      </c>
      <c r="K699" t="s">
        <v>42</v>
      </c>
      <c r="L699">
        <v>38</v>
      </c>
      <c r="M699" t="s">
        <v>27</v>
      </c>
      <c r="N699" t="s">
        <v>28</v>
      </c>
      <c r="O699">
        <v>1</v>
      </c>
      <c r="P699" t="s">
        <v>105</v>
      </c>
      <c r="Q699">
        <v>1</v>
      </c>
      <c r="R699" t="s">
        <v>27</v>
      </c>
      <c r="S699" t="s">
        <v>30</v>
      </c>
      <c r="T699" t="s">
        <v>31</v>
      </c>
    </row>
    <row r="700" spans="1:20" x14ac:dyDescent="0.35">
      <c r="A700" t="s">
        <v>758</v>
      </c>
      <c r="B700">
        <v>18</v>
      </c>
      <c r="C700" t="s">
        <v>21</v>
      </c>
      <c r="D700" t="s">
        <v>22</v>
      </c>
      <c r="E700">
        <v>198000</v>
      </c>
      <c r="F700" s="1" t="s">
        <v>1060</v>
      </c>
      <c r="G700" t="s">
        <v>34</v>
      </c>
      <c r="H700">
        <v>4</v>
      </c>
      <c r="I700" t="s">
        <v>25</v>
      </c>
      <c r="J700">
        <v>2</v>
      </c>
      <c r="K700" t="s">
        <v>52</v>
      </c>
      <c r="L700">
        <v>24</v>
      </c>
      <c r="M700" t="s">
        <v>27</v>
      </c>
      <c r="N700" t="s">
        <v>28</v>
      </c>
      <c r="O700">
        <v>2</v>
      </c>
      <c r="P700" t="s">
        <v>29</v>
      </c>
      <c r="Q700">
        <v>1</v>
      </c>
      <c r="R700" t="s">
        <v>27</v>
      </c>
      <c r="S700" t="s">
        <v>30</v>
      </c>
      <c r="T700" t="s">
        <v>31</v>
      </c>
    </row>
    <row r="701" spans="1:20" x14ac:dyDescent="0.35">
      <c r="A701" t="s">
        <v>759</v>
      </c>
      <c r="B701">
        <v>15</v>
      </c>
      <c r="C701" t="s">
        <v>33</v>
      </c>
      <c r="D701" t="s">
        <v>37</v>
      </c>
      <c r="E701">
        <v>209550</v>
      </c>
      <c r="F701" s="2" t="s">
        <v>1060</v>
      </c>
      <c r="G701" t="s">
        <v>24</v>
      </c>
      <c r="H701">
        <v>4</v>
      </c>
      <c r="I701" t="s">
        <v>25</v>
      </c>
      <c r="J701">
        <v>4</v>
      </c>
      <c r="K701" t="s">
        <v>52</v>
      </c>
      <c r="L701">
        <v>40</v>
      </c>
      <c r="M701" t="s">
        <v>27</v>
      </c>
      <c r="N701" t="s">
        <v>53</v>
      </c>
      <c r="O701">
        <v>1</v>
      </c>
      <c r="P701" t="s">
        <v>54</v>
      </c>
      <c r="Q701">
        <v>1</v>
      </c>
      <c r="R701" t="s">
        <v>30</v>
      </c>
      <c r="S701" t="s">
        <v>30</v>
      </c>
      <c r="T701" t="s">
        <v>31</v>
      </c>
    </row>
    <row r="702" spans="1:20" x14ac:dyDescent="0.35">
      <c r="A702" t="s">
        <v>760</v>
      </c>
      <c r="B702">
        <v>12</v>
      </c>
      <c r="C702" t="s">
        <v>33</v>
      </c>
      <c r="D702" t="s">
        <v>41</v>
      </c>
      <c r="E702">
        <v>123530</v>
      </c>
      <c r="F702" s="1" t="s">
        <v>1061</v>
      </c>
      <c r="G702" t="s">
        <v>34</v>
      </c>
      <c r="H702">
        <v>4</v>
      </c>
      <c r="I702" t="s">
        <v>35</v>
      </c>
      <c r="J702">
        <v>4</v>
      </c>
      <c r="K702" t="s">
        <v>52</v>
      </c>
      <c r="L702">
        <v>29</v>
      </c>
      <c r="M702" t="s">
        <v>27</v>
      </c>
      <c r="N702" t="s">
        <v>53</v>
      </c>
      <c r="O702">
        <v>1</v>
      </c>
      <c r="P702" t="s">
        <v>39</v>
      </c>
      <c r="Q702">
        <v>1</v>
      </c>
      <c r="R702" t="s">
        <v>27</v>
      </c>
      <c r="S702" t="s">
        <v>30</v>
      </c>
      <c r="T702" t="s">
        <v>31</v>
      </c>
    </row>
    <row r="703" spans="1:20" x14ac:dyDescent="0.35">
      <c r="A703" t="s">
        <v>761</v>
      </c>
      <c r="B703">
        <v>48</v>
      </c>
      <c r="C703" t="s">
        <v>21</v>
      </c>
      <c r="D703" t="s">
        <v>51</v>
      </c>
      <c r="E703">
        <v>696410</v>
      </c>
      <c r="F703" s="2" t="s">
        <v>1060</v>
      </c>
      <c r="G703" t="s">
        <v>24</v>
      </c>
      <c r="H703">
        <v>4</v>
      </c>
      <c r="I703" t="s">
        <v>25</v>
      </c>
      <c r="J703">
        <v>4</v>
      </c>
      <c r="K703" t="s">
        <v>47</v>
      </c>
      <c r="L703">
        <v>46</v>
      </c>
      <c r="M703" t="s">
        <v>27</v>
      </c>
      <c r="N703" t="s">
        <v>43</v>
      </c>
      <c r="O703">
        <v>2</v>
      </c>
      <c r="P703" t="s">
        <v>29</v>
      </c>
      <c r="Q703">
        <v>1</v>
      </c>
      <c r="R703" t="s">
        <v>30</v>
      </c>
      <c r="S703" t="s">
        <v>30</v>
      </c>
      <c r="T703" t="s">
        <v>31</v>
      </c>
    </row>
    <row r="704" spans="1:20" x14ac:dyDescent="0.35">
      <c r="A704" t="s">
        <v>762</v>
      </c>
      <c r="B704">
        <v>24</v>
      </c>
      <c r="C704" t="s">
        <v>33</v>
      </c>
      <c r="D704" t="s">
        <v>22</v>
      </c>
      <c r="E704">
        <v>151470</v>
      </c>
      <c r="F704" s="1" t="s">
        <v>1063</v>
      </c>
      <c r="G704" t="s">
        <v>24</v>
      </c>
      <c r="H704">
        <v>4</v>
      </c>
      <c r="I704" t="s">
        <v>35</v>
      </c>
      <c r="J704">
        <v>2</v>
      </c>
      <c r="K704" t="s">
        <v>47</v>
      </c>
      <c r="L704">
        <v>47</v>
      </c>
      <c r="M704" t="s">
        <v>27</v>
      </c>
      <c r="N704" t="s">
        <v>43</v>
      </c>
      <c r="O704">
        <v>1</v>
      </c>
      <c r="P704" t="s">
        <v>29</v>
      </c>
      <c r="Q704">
        <v>1</v>
      </c>
      <c r="R704" t="s">
        <v>30</v>
      </c>
      <c r="S704" t="s">
        <v>30</v>
      </c>
      <c r="T704" t="s">
        <v>31</v>
      </c>
    </row>
    <row r="705" spans="1:20" x14ac:dyDescent="0.35">
      <c r="A705" t="s">
        <v>763</v>
      </c>
      <c r="B705">
        <v>30</v>
      </c>
      <c r="C705" t="s">
        <v>45</v>
      </c>
      <c r="D705" t="s">
        <v>61</v>
      </c>
      <c r="E705">
        <v>275330</v>
      </c>
      <c r="F705" s="2" t="s">
        <v>1063</v>
      </c>
      <c r="G705" t="s">
        <v>24</v>
      </c>
      <c r="H705">
        <v>4</v>
      </c>
      <c r="I705" t="s">
        <v>25</v>
      </c>
      <c r="J705">
        <v>2</v>
      </c>
      <c r="K705" t="s">
        <v>42</v>
      </c>
      <c r="L705">
        <v>41</v>
      </c>
      <c r="M705" t="s">
        <v>86</v>
      </c>
      <c r="N705" t="s">
        <v>28</v>
      </c>
      <c r="O705">
        <v>2</v>
      </c>
      <c r="P705" t="s">
        <v>29</v>
      </c>
      <c r="Q705">
        <v>1</v>
      </c>
      <c r="R705" t="s">
        <v>27</v>
      </c>
      <c r="S705" t="s">
        <v>30</v>
      </c>
      <c r="T705" t="s">
        <v>31</v>
      </c>
    </row>
    <row r="706" spans="1:20" x14ac:dyDescent="0.35">
      <c r="A706" t="s">
        <v>764</v>
      </c>
      <c r="B706">
        <v>27</v>
      </c>
      <c r="C706" t="s">
        <v>33</v>
      </c>
      <c r="D706" t="s">
        <v>61</v>
      </c>
      <c r="E706">
        <v>278080</v>
      </c>
      <c r="F706" s="1" t="s">
        <v>1060</v>
      </c>
      <c r="G706" t="s">
        <v>59</v>
      </c>
      <c r="H706">
        <v>4</v>
      </c>
      <c r="I706" t="s">
        <v>35</v>
      </c>
      <c r="J706">
        <v>1</v>
      </c>
      <c r="K706" t="s">
        <v>42</v>
      </c>
      <c r="L706">
        <v>32</v>
      </c>
      <c r="M706" t="s">
        <v>27</v>
      </c>
      <c r="N706" t="s">
        <v>28</v>
      </c>
      <c r="O706">
        <v>1</v>
      </c>
      <c r="P706" t="s">
        <v>29</v>
      </c>
      <c r="Q706">
        <v>2</v>
      </c>
      <c r="R706" t="s">
        <v>30</v>
      </c>
      <c r="S706" t="s">
        <v>30</v>
      </c>
      <c r="T706" t="s">
        <v>31</v>
      </c>
    </row>
    <row r="707" spans="1:20" x14ac:dyDescent="0.35">
      <c r="A707" t="s">
        <v>765</v>
      </c>
      <c r="B707">
        <v>15</v>
      </c>
      <c r="C707" t="s">
        <v>33</v>
      </c>
      <c r="D707" t="s">
        <v>46</v>
      </c>
      <c r="E707">
        <v>585640</v>
      </c>
      <c r="F707" s="2" t="s">
        <v>1061</v>
      </c>
      <c r="G707" t="s">
        <v>24</v>
      </c>
      <c r="H707">
        <v>1</v>
      </c>
      <c r="I707" t="s">
        <v>35</v>
      </c>
      <c r="J707">
        <v>4</v>
      </c>
      <c r="K707" t="s">
        <v>47</v>
      </c>
      <c r="L707">
        <v>35</v>
      </c>
      <c r="M707" t="s">
        <v>27</v>
      </c>
      <c r="N707" t="s">
        <v>43</v>
      </c>
      <c r="O707">
        <v>1</v>
      </c>
      <c r="P707" t="s">
        <v>29</v>
      </c>
      <c r="Q707">
        <v>1</v>
      </c>
      <c r="R707" t="s">
        <v>27</v>
      </c>
      <c r="S707" t="s">
        <v>30</v>
      </c>
      <c r="T707" t="s">
        <v>31</v>
      </c>
    </row>
    <row r="708" spans="1:20" x14ac:dyDescent="0.35">
      <c r="A708" t="s">
        <v>766</v>
      </c>
      <c r="B708">
        <v>48</v>
      </c>
      <c r="C708" t="s">
        <v>33</v>
      </c>
      <c r="D708" t="s">
        <v>46</v>
      </c>
      <c r="E708">
        <v>721600</v>
      </c>
      <c r="F708" s="1" t="s">
        <v>1063</v>
      </c>
      <c r="G708" t="s">
        <v>38</v>
      </c>
      <c r="H708">
        <v>3</v>
      </c>
      <c r="I708" t="s">
        <v>25</v>
      </c>
      <c r="J708">
        <v>2</v>
      </c>
      <c r="K708" t="s">
        <v>42</v>
      </c>
      <c r="L708">
        <v>24</v>
      </c>
      <c r="M708" t="s">
        <v>27</v>
      </c>
      <c r="N708" t="s">
        <v>28</v>
      </c>
      <c r="O708">
        <v>1</v>
      </c>
      <c r="P708" t="s">
        <v>29</v>
      </c>
      <c r="Q708">
        <v>1</v>
      </c>
      <c r="R708" t="s">
        <v>27</v>
      </c>
      <c r="S708" t="s">
        <v>30</v>
      </c>
      <c r="T708" t="s">
        <v>31</v>
      </c>
    </row>
    <row r="709" spans="1:20" x14ac:dyDescent="0.35">
      <c r="A709" t="s">
        <v>767</v>
      </c>
      <c r="B709">
        <v>12</v>
      </c>
      <c r="C709" t="s">
        <v>68</v>
      </c>
      <c r="D709" t="s">
        <v>41</v>
      </c>
      <c r="E709">
        <v>326590</v>
      </c>
      <c r="F709" s="2" t="s">
        <v>1060</v>
      </c>
      <c r="G709" t="s">
        <v>59</v>
      </c>
      <c r="H709">
        <v>4</v>
      </c>
      <c r="I709" t="s">
        <v>35</v>
      </c>
      <c r="J709">
        <v>3</v>
      </c>
      <c r="K709" t="s">
        <v>42</v>
      </c>
      <c r="L709">
        <v>25</v>
      </c>
      <c r="M709" t="s">
        <v>27</v>
      </c>
      <c r="N709" t="s">
        <v>53</v>
      </c>
      <c r="O709">
        <v>2</v>
      </c>
      <c r="P709" t="s">
        <v>29</v>
      </c>
      <c r="Q709">
        <v>1</v>
      </c>
      <c r="R709" t="s">
        <v>27</v>
      </c>
      <c r="S709" t="s">
        <v>30</v>
      </c>
      <c r="T709" t="s">
        <v>31</v>
      </c>
    </row>
    <row r="710" spans="1:20" x14ac:dyDescent="0.35">
      <c r="A710" t="s">
        <v>768</v>
      </c>
      <c r="B710">
        <v>9</v>
      </c>
      <c r="C710" t="s">
        <v>33</v>
      </c>
      <c r="D710" t="s">
        <v>22</v>
      </c>
      <c r="E710">
        <v>132660</v>
      </c>
      <c r="F710" s="1" t="s">
        <v>1060</v>
      </c>
      <c r="G710" t="s">
        <v>24</v>
      </c>
      <c r="H710">
        <v>4</v>
      </c>
      <c r="I710" t="s">
        <v>35</v>
      </c>
      <c r="J710">
        <v>4</v>
      </c>
      <c r="K710" t="s">
        <v>26</v>
      </c>
      <c r="L710">
        <v>25</v>
      </c>
      <c r="M710" t="s">
        <v>27</v>
      </c>
      <c r="N710" t="s">
        <v>28</v>
      </c>
      <c r="O710">
        <v>1</v>
      </c>
      <c r="P710" t="s">
        <v>29</v>
      </c>
      <c r="Q710">
        <v>1</v>
      </c>
      <c r="R710" t="s">
        <v>27</v>
      </c>
      <c r="S710" t="s">
        <v>30</v>
      </c>
      <c r="T710" t="s">
        <v>31</v>
      </c>
    </row>
    <row r="711" spans="1:20" x14ac:dyDescent="0.35">
      <c r="A711" t="s">
        <v>769</v>
      </c>
      <c r="B711">
        <v>9</v>
      </c>
      <c r="C711" t="s">
        <v>33</v>
      </c>
      <c r="D711" t="s">
        <v>22</v>
      </c>
      <c r="E711">
        <v>232980</v>
      </c>
      <c r="F711" s="2" t="s">
        <v>1060</v>
      </c>
      <c r="G711" t="s">
        <v>34</v>
      </c>
      <c r="H711">
        <v>2</v>
      </c>
      <c r="I711" t="s">
        <v>25</v>
      </c>
      <c r="J711">
        <v>2</v>
      </c>
      <c r="K711" t="s">
        <v>26</v>
      </c>
      <c r="L711">
        <v>37</v>
      </c>
      <c r="M711" t="s">
        <v>27</v>
      </c>
      <c r="N711" t="s">
        <v>28</v>
      </c>
      <c r="O711">
        <v>1</v>
      </c>
      <c r="P711" t="s">
        <v>39</v>
      </c>
      <c r="Q711">
        <v>2</v>
      </c>
      <c r="R711" t="s">
        <v>27</v>
      </c>
      <c r="S711" t="s">
        <v>30</v>
      </c>
      <c r="T711" t="s">
        <v>31</v>
      </c>
    </row>
    <row r="712" spans="1:20" x14ac:dyDescent="0.35">
      <c r="A712" t="s">
        <v>770</v>
      </c>
      <c r="B712">
        <v>18</v>
      </c>
      <c r="C712" t="s">
        <v>21</v>
      </c>
      <c r="D712" t="s">
        <v>22</v>
      </c>
      <c r="E712">
        <v>69190</v>
      </c>
      <c r="F712" s="1" t="s">
        <v>1061</v>
      </c>
      <c r="G712" t="s">
        <v>24</v>
      </c>
      <c r="H712">
        <v>4</v>
      </c>
      <c r="I712" t="s">
        <v>25</v>
      </c>
      <c r="J712">
        <v>3</v>
      </c>
      <c r="K712" t="s">
        <v>42</v>
      </c>
      <c r="L712">
        <v>32</v>
      </c>
      <c r="M712" t="s">
        <v>69</v>
      </c>
      <c r="N712" t="s">
        <v>28</v>
      </c>
      <c r="O712">
        <v>2</v>
      </c>
      <c r="P712" t="s">
        <v>54</v>
      </c>
      <c r="Q712">
        <v>1</v>
      </c>
      <c r="R712" t="s">
        <v>30</v>
      </c>
      <c r="S712" t="s">
        <v>30</v>
      </c>
      <c r="T712" t="s">
        <v>31</v>
      </c>
    </row>
    <row r="713" spans="1:20" x14ac:dyDescent="0.35">
      <c r="A713" t="s">
        <v>771</v>
      </c>
      <c r="B713">
        <v>6</v>
      </c>
      <c r="C713" t="s">
        <v>81</v>
      </c>
      <c r="D713" t="s">
        <v>37</v>
      </c>
      <c r="E713">
        <v>131780</v>
      </c>
      <c r="F713" s="2" t="s">
        <v>1060</v>
      </c>
      <c r="G713" t="s">
        <v>24</v>
      </c>
      <c r="H713">
        <v>4</v>
      </c>
      <c r="I713" t="s">
        <v>35</v>
      </c>
      <c r="J713">
        <v>4</v>
      </c>
      <c r="K713" t="s">
        <v>47</v>
      </c>
      <c r="L713">
        <v>35</v>
      </c>
      <c r="M713" t="s">
        <v>27</v>
      </c>
      <c r="N713" t="s">
        <v>43</v>
      </c>
      <c r="O713">
        <v>1</v>
      </c>
      <c r="P713" t="s">
        <v>29</v>
      </c>
      <c r="Q713">
        <v>1</v>
      </c>
      <c r="R713" t="s">
        <v>27</v>
      </c>
      <c r="S713" t="s">
        <v>30</v>
      </c>
      <c r="T713" t="s">
        <v>31</v>
      </c>
    </row>
    <row r="714" spans="1:20" x14ac:dyDescent="0.35">
      <c r="A714" t="s">
        <v>772</v>
      </c>
      <c r="B714">
        <v>21</v>
      </c>
      <c r="C714" t="s">
        <v>33</v>
      </c>
      <c r="D714" t="s">
        <v>51</v>
      </c>
      <c r="E714">
        <v>272360</v>
      </c>
      <c r="F714" s="1" t="s">
        <v>23</v>
      </c>
      <c r="G714" t="s">
        <v>24</v>
      </c>
      <c r="H714">
        <v>4</v>
      </c>
      <c r="I714" t="s">
        <v>25</v>
      </c>
      <c r="J714">
        <v>4</v>
      </c>
      <c r="K714" t="s">
        <v>26</v>
      </c>
      <c r="L714">
        <v>46</v>
      </c>
      <c r="M714" t="s">
        <v>27</v>
      </c>
      <c r="N714" t="s">
        <v>28</v>
      </c>
      <c r="O714">
        <v>1</v>
      </c>
      <c r="P714" t="s">
        <v>54</v>
      </c>
      <c r="Q714">
        <v>1</v>
      </c>
      <c r="R714" t="s">
        <v>30</v>
      </c>
      <c r="S714" t="s">
        <v>30</v>
      </c>
      <c r="T714" t="s">
        <v>31</v>
      </c>
    </row>
    <row r="715" spans="1:20" x14ac:dyDescent="0.35">
      <c r="A715" t="s">
        <v>773</v>
      </c>
      <c r="B715">
        <v>9</v>
      </c>
      <c r="C715" t="s">
        <v>21</v>
      </c>
      <c r="D715" t="s">
        <v>22</v>
      </c>
      <c r="E715">
        <v>125180</v>
      </c>
      <c r="F715" s="2" t="s">
        <v>1060</v>
      </c>
      <c r="G715" t="s">
        <v>34</v>
      </c>
      <c r="H715">
        <v>4</v>
      </c>
      <c r="I715" t="s">
        <v>25</v>
      </c>
      <c r="J715">
        <v>4</v>
      </c>
      <c r="K715" t="s">
        <v>26</v>
      </c>
      <c r="L715">
        <v>25</v>
      </c>
      <c r="M715" t="s">
        <v>27</v>
      </c>
      <c r="N715" t="s">
        <v>28</v>
      </c>
      <c r="O715">
        <v>2</v>
      </c>
      <c r="P715" t="s">
        <v>39</v>
      </c>
      <c r="Q715">
        <v>1</v>
      </c>
      <c r="R715" t="s">
        <v>27</v>
      </c>
      <c r="S715" t="s">
        <v>30</v>
      </c>
      <c r="T715" t="s">
        <v>31</v>
      </c>
    </row>
    <row r="716" spans="1:20" x14ac:dyDescent="0.35">
      <c r="A716" t="s">
        <v>774</v>
      </c>
      <c r="B716">
        <v>60</v>
      </c>
      <c r="C716" t="s">
        <v>33</v>
      </c>
      <c r="D716" t="s">
        <v>46</v>
      </c>
      <c r="E716">
        <v>1542970</v>
      </c>
      <c r="F716" s="1" t="s">
        <v>1060</v>
      </c>
      <c r="G716" t="s">
        <v>38</v>
      </c>
      <c r="H716">
        <v>4</v>
      </c>
      <c r="I716" t="s">
        <v>25</v>
      </c>
      <c r="J716">
        <v>2</v>
      </c>
      <c r="K716" t="s">
        <v>47</v>
      </c>
      <c r="L716">
        <v>27</v>
      </c>
      <c r="M716" t="s">
        <v>27</v>
      </c>
      <c r="N716" t="s">
        <v>28</v>
      </c>
      <c r="O716">
        <v>1</v>
      </c>
      <c r="P716" t="s">
        <v>54</v>
      </c>
      <c r="Q716">
        <v>1</v>
      </c>
      <c r="R716" t="s">
        <v>30</v>
      </c>
      <c r="S716" t="s">
        <v>30</v>
      </c>
      <c r="T716" t="s">
        <v>31</v>
      </c>
    </row>
    <row r="717" spans="1:20" x14ac:dyDescent="0.35">
      <c r="A717" t="s">
        <v>775</v>
      </c>
      <c r="B717">
        <v>30</v>
      </c>
      <c r="C717" t="s">
        <v>21</v>
      </c>
      <c r="D717" t="s">
        <v>51</v>
      </c>
      <c r="E717">
        <v>835560</v>
      </c>
      <c r="F717" s="2" t="s">
        <v>23</v>
      </c>
      <c r="G717" t="s">
        <v>24</v>
      </c>
      <c r="H717">
        <v>1</v>
      </c>
      <c r="I717" t="s">
        <v>25</v>
      </c>
      <c r="J717">
        <v>4</v>
      </c>
      <c r="K717" t="s">
        <v>52</v>
      </c>
      <c r="L717">
        <v>63</v>
      </c>
      <c r="M717" t="s">
        <v>27</v>
      </c>
      <c r="N717" t="s">
        <v>28</v>
      </c>
      <c r="O717">
        <v>2</v>
      </c>
      <c r="P717" t="s">
        <v>29</v>
      </c>
      <c r="Q717">
        <v>1</v>
      </c>
      <c r="R717" t="s">
        <v>27</v>
      </c>
      <c r="S717" t="s">
        <v>30</v>
      </c>
      <c r="T717" t="s">
        <v>31</v>
      </c>
    </row>
    <row r="718" spans="1:20" x14ac:dyDescent="0.35">
      <c r="A718" t="s">
        <v>776</v>
      </c>
      <c r="B718">
        <v>30</v>
      </c>
      <c r="C718" t="s">
        <v>21</v>
      </c>
      <c r="D718" t="s">
        <v>22</v>
      </c>
      <c r="E718">
        <v>338470</v>
      </c>
      <c r="F718" s="1" t="s">
        <v>23</v>
      </c>
      <c r="G718" t="s">
        <v>24</v>
      </c>
      <c r="H718">
        <v>3</v>
      </c>
      <c r="I718" t="s">
        <v>25</v>
      </c>
      <c r="J718">
        <v>2</v>
      </c>
      <c r="K718" t="s">
        <v>52</v>
      </c>
      <c r="L718">
        <v>40</v>
      </c>
      <c r="M718" t="s">
        <v>27</v>
      </c>
      <c r="N718" t="s">
        <v>28</v>
      </c>
      <c r="O718">
        <v>2</v>
      </c>
      <c r="P718" t="s">
        <v>29</v>
      </c>
      <c r="Q718">
        <v>2</v>
      </c>
      <c r="R718" t="s">
        <v>30</v>
      </c>
      <c r="S718" t="s">
        <v>30</v>
      </c>
      <c r="T718" t="s">
        <v>31</v>
      </c>
    </row>
    <row r="719" spans="1:20" x14ac:dyDescent="0.35">
      <c r="A719" t="s">
        <v>777</v>
      </c>
      <c r="B719">
        <v>18</v>
      </c>
      <c r="C719" t="s">
        <v>33</v>
      </c>
      <c r="D719" t="s">
        <v>22</v>
      </c>
      <c r="E719">
        <v>165550</v>
      </c>
      <c r="F719" s="2" t="s">
        <v>1060</v>
      </c>
      <c r="G719" t="s">
        <v>34</v>
      </c>
      <c r="H719">
        <v>4</v>
      </c>
      <c r="I719" t="s">
        <v>25</v>
      </c>
      <c r="J719">
        <v>2</v>
      </c>
      <c r="K719" t="s">
        <v>47</v>
      </c>
      <c r="L719">
        <v>32</v>
      </c>
      <c r="M719" t="s">
        <v>27</v>
      </c>
      <c r="N719" t="s">
        <v>43</v>
      </c>
      <c r="O719">
        <v>1</v>
      </c>
      <c r="P719" t="s">
        <v>54</v>
      </c>
      <c r="Q719">
        <v>1</v>
      </c>
      <c r="R719" t="s">
        <v>30</v>
      </c>
      <c r="S719" t="s">
        <v>30</v>
      </c>
      <c r="T719" t="s">
        <v>31</v>
      </c>
    </row>
    <row r="720" spans="1:20" x14ac:dyDescent="0.35">
      <c r="A720" t="s">
        <v>778</v>
      </c>
      <c r="B720">
        <v>24</v>
      </c>
      <c r="C720" t="s">
        <v>21</v>
      </c>
      <c r="D720" t="s">
        <v>22</v>
      </c>
      <c r="E720">
        <v>346280</v>
      </c>
      <c r="F720" s="1" t="s">
        <v>23</v>
      </c>
      <c r="G720" t="s">
        <v>34</v>
      </c>
      <c r="H720">
        <v>3</v>
      </c>
      <c r="I720" t="s">
        <v>25</v>
      </c>
      <c r="J720">
        <v>2</v>
      </c>
      <c r="K720" t="s">
        <v>52</v>
      </c>
      <c r="L720">
        <v>31</v>
      </c>
      <c r="M720" t="s">
        <v>27</v>
      </c>
      <c r="N720" t="s">
        <v>28</v>
      </c>
      <c r="O720">
        <v>2</v>
      </c>
      <c r="P720" t="s">
        <v>29</v>
      </c>
      <c r="Q720">
        <v>1</v>
      </c>
      <c r="R720" t="s">
        <v>30</v>
      </c>
      <c r="S720" t="s">
        <v>30</v>
      </c>
      <c r="T720" t="s">
        <v>31</v>
      </c>
    </row>
    <row r="721" spans="1:20" x14ac:dyDescent="0.35">
      <c r="A721" t="s">
        <v>779</v>
      </c>
      <c r="B721">
        <v>20</v>
      </c>
      <c r="C721" t="s">
        <v>68</v>
      </c>
      <c r="D721" t="s">
        <v>51</v>
      </c>
      <c r="E721">
        <v>676280</v>
      </c>
      <c r="F721" s="2" t="s">
        <v>1063</v>
      </c>
      <c r="G721" t="s">
        <v>24</v>
      </c>
      <c r="H721">
        <v>3</v>
      </c>
      <c r="I721" t="s">
        <v>25</v>
      </c>
      <c r="J721">
        <v>4</v>
      </c>
      <c r="K721" t="s">
        <v>52</v>
      </c>
      <c r="L721">
        <v>31</v>
      </c>
      <c r="M721" t="s">
        <v>69</v>
      </c>
      <c r="N721" t="s">
        <v>28</v>
      </c>
      <c r="O721">
        <v>2</v>
      </c>
      <c r="P721" t="s">
        <v>29</v>
      </c>
      <c r="Q721">
        <v>1</v>
      </c>
      <c r="R721" t="s">
        <v>30</v>
      </c>
      <c r="S721" t="s">
        <v>30</v>
      </c>
      <c r="T721" t="s">
        <v>31</v>
      </c>
    </row>
    <row r="722" spans="1:20" x14ac:dyDescent="0.35">
      <c r="A722" t="s">
        <v>780</v>
      </c>
      <c r="B722">
        <v>9</v>
      </c>
      <c r="C722" t="s">
        <v>68</v>
      </c>
      <c r="D722" t="s">
        <v>22</v>
      </c>
      <c r="E722">
        <v>147070</v>
      </c>
      <c r="F722" s="1" t="s">
        <v>1060</v>
      </c>
      <c r="G722" t="s">
        <v>59</v>
      </c>
      <c r="H722">
        <v>4</v>
      </c>
      <c r="I722" t="s">
        <v>25</v>
      </c>
      <c r="J722">
        <v>2</v>
      </c>
      <c r="K722" t="s">
        <v>52</v>
      </c>
      <c r="L722">
        <v>34</v>
      </c>
      <c r="M722" t="s">
        <v>27</v>
      </c>
      <c r="N722" t="s">
        <v>28</v>
      </c>
      <c r="O722">
        <v>2</v>
      </c>
      <c r="P722" t="s">
        <v>54</v>
      </c>
      <c r="Q722">
        <v>1</v>
      </c>
      <c r="R722" t="s">
        <v>30</v>
      </c>
      <c r="S722" t="s">
        <v>30</v>
      </c>
      <c r="T722" t="s">
        <v>31</v>
      </c>
    </row>
    <row r="723" spans="1:20" x14ac:dyDescent="0.35">
      <c r="A723" t="s">
        <v>781</v>
      </c>
      <c r="B723">
        <v>6</v>
      </c>
      <c r="C723" t="s">
        <v>81</v>
      </c>
      <c r="D723" t="s">
        <v>37</v>
      </c>
      <c r="E723">
        <v>47630</v>
      </c>
      <c r="F723" s="2" t="s">
        <v>1062</v>
      </c>
      <c r="G723" t="s">
        <v>59</v>
      </c>
      <c r="H723">
        <v>4</v>
      </c>
      <c r="I723" t="s">
        <v>35</v>
      </c>
      <c r="J723">
        <v>2</v>
      </c>
      <c r="K723" t="s">
        <v>42</v>
      </c>
      <c r="L723">
        <v>24</v>
      </c>
      <c r="M723" t="s">
        <v>69</v>
      </c>
      <c r="N723" t="s">
        <v>53</v>
      </c>
      <c r="O723">
        <v>1</v>
      </c>
      <c r="P723" t="s">
        <v>29</v>
      </c>
      <c r="Q723">
        <v>2</v>
      </c>
      <c r="R723" t="s">
        <v>27</v>
      </c>
      <c r="S723" t="s">
        <v>30</v>
      </c>
      <c r="T723" t="s">
        <v>31</v>
      </c>
    </row>
    <row r="724" spans="1:20" x14ac:dyDescent="0.35">
      <c r="A724" t="s">
        <v>782</v>
      </c>
      <c r="B724">
        <v>12</v>
      </c>
      <c r="C724" t="s">
        <v>33</v>
      </c>
      <c r="D724" t="s">
        <v>46</v>
      </c>
      <c r="E724">
        <v>135080</v>
      </c>
      <c r="F724" s="1" t="s">
        <v>1060</v>
      </c>
      <c r="G724" t="s">
        <v>34</v>
      </c>
      <c r="H724">
        <v>4</v>
      </c>
      <c r="I724" t="s">
        <v>35</v>
      </c>
      <c r="J724">
        <v>2</v>
      </c>
      <c r="K724" t="s">
        <v>26</v>
      </c>
      <c r="L724">
        <v>24</v>
      </c>
      <c r="M724" t="s">
        <v>27</v>
      </c>
      <c r="N724" t="s">
        <v>28</v>
      </c>
      <c r="O724">
        <v>1</v>
      </c>
      <c r="P724" t="s">
        <v>39</v>
      </c>
      <c r="Q724">
        <v>1</v>
      </c>
      <c r="R724" t="s">
        <v>27</v>
      </c>
      <c r="S724" t="s">
        <v>30</v>
      </c>
      <c r="T724" t="s">
        <v>31</v>
      </c>
    </row>
    <row r="725" spans="1:20" x14ac:dyDescent="0.35">
      <c r="A725" t="s">
        <v>783</v>
      </c>
      <c r="B725">
        <v>9</v>
      </c>
      <c r="C725" t="s">
        <v>33</v>
      </c>
      <c r="D725" t="s">
        <v>22</v>
      </c>
      <c r="E725">
        <v>86900</v>
      </c>
      <c r="F725" s="2" t="s">
        <v>1061</v>
      </c>
      <c r="G725" t="s">
        <v>34</v>
      </c>
      <c r="H725">
        <v>4</v>
      </c>
      <c r="I725" t="s">
        <v>35</v>
      </c>
      <c r="J725">
        <v>3</v>
      </c>
      <c r="K725" t="s">
        <v>26</v>
      </c>
      <c r="L725">
        <v>66</v>
      </c>
      <c r="M725" t="s">
        <v>27</v>
      </c>
      <c r="N725" t="s">
        <v>28</v>
      </c>
      <c r="O725">
        <v>1</v>
      </c>
      <c r="P725" t="s">
        <v>39</v>
      </c>
      <c r="Q725">
        <v>1</v>
      </c>
      <c r="R725" t="s">
        <v>27</v>
      </c>
      <c r="S725" t="s">
        <v>30</v>
      </c>
      <c r="T725" t="s">
        <v>31</v>
      </c>
    </row>
    <row r="726" spans="1:20" x14ac:dyDescent="0.35">
      <c r="A726" t="s">
        <v>784</v>
      </c>
      <c r="B726">
        <v>27</v>
      </c>
      <c r="C726" t="s">
        <v>33</v>
      </c>
      <c r="D726" t="s">
        <v>46</v>
      </c>
      <c r="E726">
        <v>282700</v>
      </c>
      <c r="F726" s="1" t="s">
        <v>1060</v>
      </c>
      <c r="G726" t="s">
        <v>34</v>
      </c>
      <c r="H726">
        <v>3</v>
      </c>
      <c r="I726" t="s">
        <v>35</v>
      </c>
      <c r="J726">
        <v>3</v>
      </c>
      <c r="K726" t="s">
        <v>26</v>
      </c>
      <c r="L726">
        <v>21</v>
      </c>
      <c r="M726" t="s">
        <v>27</v>
      </c>
      <c r="N726" t="s">
        <v>53</v>
      </c>
      <c r="O726">
        <v>1</v>
      </c>
      <c r="P726" t="s">
        <v>29</v>
      </c>
      <c r="Q726">
        <v>1</v>
      </c>
      <c r="R726" t="s">
        <v>27</v>
      </c>
      <c r="S726" t="s">
        <v>30</v>
      </c>
      <c r="T726" t="s">
        <v>31</v>
      </c>
    </row>
    <row r="727" spans="1:20" x14ac:dyDescent="0.35">
      <c r="A727" t="s">
        <v>785</v>
      </c>
      <c r="B727">
        <v>6</v>
      </c>
      <c r="C727" t="s">
        <v>21</v>
      </c>
      <c r="D727" t="s">
        <v>46</v>
      </c>
      <c r="E727">
        <v>27500</v>
      </c>
      <c r="F727" s="2" t="s">
        <v>1062</v>
      </c>
      <c r="G727" t="s">
        <v>34</v>
      </c>
      <c r="H727">
        <v>2</v>
      </c>
      <c r="I727" t="s">
        <v>35</v>
      </c>
      <c r="J727">
        <v>2</v>
      </c>
      <c r="K727" t="s">
        <v>26</v>
      </c>
      <c r="L727">
        <v>41</v>
      </c>
      <c r="M727" t="s">
        <v>69</v>
      </c>
      <c r="N727" t="s">
        <v>28</v>
      </c>
      <c r="O727">
        <v>2</v>
      </c>
      <c r="P727" t="s">
        <v>39</v>
      </c>
      <c r="Q727">
        <v>1</v>
      </c>
      <c r="R727" t="s">
        <v>27</v>
      </c>
      <c r="S727" t="s">
        <v>30</v>
      </c>
      <c r="T727" t="s">
        <v>31</v>
      </c>
    </row>
    <row r="728" spans="1:20" x14ac:dyDescent="0.35">
      <c r="A728" t="s">
        <v>786</v>
      </c>
      <c r="B728">
        <v>15</v>
      </c>
      <c r="C728" t="s">
        <v>21</v>
      </c>
      <c r="D728" t="s">
        <v>22</v>
      </c>
      <c r="E728">
        <v>144760</v>
      </c>
      <c r="F728" s="1" t="s">
        <v>1061</v>
      </c>
      <c r="G728" t="s">
        <v>34</v>
      </c>
      <c r="H728">
        <v>2</v>
      </c>
      <c r="I728" t="s">
        <v>25</v>
      </c>
      <c r="J728">
        <v>2</v>
      </c>
      <c r="K728" t="s">
        <v>42</v>
      </c>
      <c r="L728">
        <v>47</v>
      </c>
      <c r="M728" t="s">
        <v>27</v>
      </c>
      <c r="N728" t="s">
        <v>28</v>
      </c>
      <c r="O728">
        <v>2</v>
      </c>
      <c r="P728" t="s">
        <v>39</v>
      </c>
      <c r="Q728">
        <v>1</v>
      </c>
      <c r="R728" t="s">
        <v>27</v>
      </c>
      <c r="S728" t="s">
        <v>30</v>
      </c>
      <c r="T728" t="s">
        <v>31</v>
      </c>
    </row>
    <row r="729" spans="1:20" x14ac:dyDescent="0.35">
      <c r="A729" t="s">
        <v>787</v>
      </c>
      <c r="B729">
        <v>18</v>
      </c>
      <c r="C729" t="s">
        <v>33</v>
      </c>
      <c r="D729" t="s">
        <v>22</v>
      </c>
      <c r="E729">
        <v>207020</v>
      </c>
      <c r="F729" s="2" t="s">
        <v>1060</v>
      </c>
      <c r="G729" t="s">
        <v>34</v>
      </c>
      <c r="H729">
        <v>4</v>
      </c>
      <c r="I729" t="s">
        <v>35</v>
      </c>
      <c r="J729">
        <v>4</v>
      </c>
      <c r="K729" t="s">
        <v>52</v>
      </c>
      <c r="L729">
        <v>25</v>
      </c>
      <c r="M729" t="s">
        <v>69</v>
      </c>
      <c r="N729" t="s">
        <v>53</v>
      </c>
      <c r="O729">
        <v>2</v>
      </c>
      <c r="P729" t="s">
        <v>29</v>
      </c>
      <c r="Q729">
        <v>1</v>
      </c>
      <c r="R729" t="s">
        <v>27</v>
      </c>
      <c r="S729" t="s">
        <v>30</v>
      </c>
      <c r="T729" t="s">
        <v>31</v>
      </c>
    </row>
    <row r="730" spans="1:20" x14ac:dyDescent="0.35">
      <c r="A730" t="s">
        <v>788</v>
      </c>
      <c r="B730">
        <v>48</v>
      </c>
      <c r="C730" t="s">
        <v>81</v>
      </c>
      <c r="D730" t="s">
        <v>61</v>
      </c>
      <c r="E730">
        <v>705760</v>
      </c>
      <c r="F730" s="1" t="s">
        <v>1060</v>
      </c>
      <c r="G730" t="s">
        <v>24</v>
      </c>
      <c r="H730">
        <v>4</v>
      </c>
      <c r="I730" t="s">
        <v>35</v>
      </c>
      <c r="J730">
        <v>3</v>
      </c>
      <c r="K730" t="s">
        <v>47</v>
      </c>
      <c r="L730">
        <v>59</v>
      </c>
      <c r="M730" t="s">
        <v>27</v>
      </c>
      <c r="N730" t="s">
        <v>53</v>
      </c>
      <c r="O730">
        <v>1</v>
      </c>
      <c r="P730" t="s">
        <v>29</v>
      </c>
      <c r="Q730">
        <v>1</v>
      </c>
      <c r="R730" t="s">
        <v>27</v>
      </c>
      <c r="S730" t="s">
        <v>30</v>
      </c>
      <c r="T730" t="s">
        <v>31</v>
      </c>
    </row>
    <row r="731" spans="1:20" x14ac:dyDescent="0.35">
      <c r="A731" t="s">
        <v>789</v>
      </c>
      <c r="B731">
        <v>24</v>
      </c>
      <c r="C731" t="s">
        <v>21</v>
      </c>
      <c r="D731" t="s">
        <v>61</v>
      </c>
      <c r="E731">
        <v>140250</v>
      </c>
      <c r="F731" s="2" t="s">
        <v>1062</v>
      </c>
      <c r="G731" t="s">
        <v>34</v>
      </c>
      <c r="H731">
        <v>2</v>
      </c>
      <c r="I731" t="s">
        <v>25</v>
      </c>
      <c r="J731">
        <v>4</v>
      </c>
      <c r="K731" t="s">
        <v>26</v>
      </c>
      <c r="L731">
        <v>36</v>
      </c>
      <c r="M731" t="s">
        <v>27</v>
      </c>
      <c r="N731" t="s">
        <v>28</v>
      </c>
      <c r="O731">
        <v>2</v>
      </c>
      <c r="P731" t="s">
        <v>29</v>
      </c>
      <c r="Q731">
        <v>1</v>
      </c>
      <c r="R731" t="s">
        <v>30</v>
      </c>
      <c r="S731" t="s">
        <v>30</v>
      </c>
      <c r="T731" t="s">
        <v>31</v>
      </c>
    </row>
    <row r="732" spans="1:20" x14ac:dyDescent="0.35">
      <c r="A732" t="s">
        <v>790</v>
      </c>
      <c r="B732">
        <v>24</v>
      </c>
      <c r="C732" t="s">
        <v>45</v>
      </c>
      <c r="D732" t="s">
        <v>22</v>
      </c>
      <c r="E732">
        <v>704330</v>
      </c>
      <c r="F732" s="1" t="s">
        <v>1060</v>
      </c>
      <c r="G732" t="s">
        <v>59</v>
      </c>
      <c r="H732">
        <v>1</v>
      </c>
      <c r="I732" t="s">
        <v>25</v>
      </c>
      <c r="J732">
        <v>2</v>
      </c>
      <c r="K732" t="s">
        <v>52</v>
      </c>
      <c r="L732">
        <v>33</v>
      </c>
      <c r="M732" t="s">
        <v>27</v>
      </c>
      <c r="N732" t="s">
        <v>28</v>
      </c>
      <c r="O732">
        <v>1</v>
      </c>
      <c r="P732" t="s">
        <v>29</v>
      </c>
      <c r="Q732">
        <v>1</v>
      </c>
      <c r="R732" t="s">
        <v>27</v>
      </c>
      <c r="S732" t="s">
        <v>30</v>
      </c>
      <c r="T732" t="s">
        <v>31</v>
      </c>
    </row>
    <row r="733" spans="1:20" x14ac:dyDescent="0.35">
      <c r="A733" t="s">
        <v>791</v>
      </c>
      <c r="B733">
        <v>24</v>
      </c>
      <c r="C733" t="s">
        <v>33</v>
      </c>
      <c r="D733" t="s">
        <v>22</v>
      </c>
      <c r="E733">
        <v>218570</v>
      </c>
      <c r="F733" s="2" t="s">
        <v>1060</v>
      </c>
      <c r="G733" t="s">
        <v>34</v>
      </c>
      <c r="H733">
        <v>2</v>
      </c>
      <c r="I733" t="s">
        <v>25</v>
      </c>
      <c r="J733">
        <v>4</v>
      </c>
      <c r="K733" t="s">
        <v>26</v>
      </c>
      <c r="L733">
        <v>21</v>
      </c>
      <c r="M733" t="s">
        <v>27</v>
      </c>
      <c r="N733" t="s">
        <v>53</v>
      </c>
      <c r="O733">
        <v>1</v>
      </c>
      <c r="P733" t="s">
        <v>39</v>
      </c>
      <c r="Q733">
        <v>2</v>
      </c>
      <c r="R733" t="s">
        <v>27</v>
      </c>
      <c r="S733" t="s">
        <v>30</v>
      </c>
      <c r="T733" t="s">
        <v>31</v>
      </c>
    </row>
    <row r="734" spans="1:20" x14ac:dyDescent="0.35">
      <c r="A734" t="s">
        <v>792</v>
      </c>
      <c r="B734">
        <v>8</v>
      </c>
      <c r="C734" t="s">
        <v>33</v>
      </c>
      <c r="D734" t="s">
        <v>22</v>
      </c>
      <c r="E734">
        <v>83600</v>
      </c>
      <c r="F734" s="1" t="s">
        <v>1060</v>
      </c>
      <c r="G734" t="s">
        <v>38</v>
      </c>
      <c r="H734">
        <v>4</v>
      </c>
      <c r="I734" t="s">
        <v>35</v>
      </c>
      <c r="J734">
        <v>2</v>
      </c>
      <c r="K734" t="s">
        <v>26</v>
      </c>
      <c r="L734">
        <v>44</v>
      </c>
      <c r="M734" t="s">
        <v>27</v>
      </c>
      <c r="N734" t="s">
        <v>28</v>
      </c>
      <c r="O734">
        <v>1</v>
      </c>
      <c r="P734" t="s">
        <v>39</v>
      </c>
      <c r="Q734">
        <v>1</v>
      </c>
      <c r="R734" t="s">
        <v>27</v>
      </c>
      <c r="S734" t="s">
        <v>30</v>
      </c>
      <c r="T734" t="s">
        <v>31</v>
      </c>
    </row>
    <row r="735" spans="1:20" x14ac:dyDescent="0.35">
      <c r="A735" t="s">
        <v>793</v>
      </c>
      <c r="B735">
        <v>24</v>
      </c>
      <c r="C735" t="s">
        <v>33</v>
      </c>
      <c r="D735" t="s">
        <v>51</v>
      </c>
      <c r="E735">
        <v>286330</v>
      </c>
      <c r="F735" s="2" t="s">
        <v>1062</v>
      </c>
      <c r="G735" t="s">
        <v>34</v>
      </c>
      <c r="H735">
        <v>2</v>
      </c>
      <c r="I735" t="s">
        <v>35</v>
      </c>
      <c r="J735">
        <v>4</v>
      </c>
      <c r="K735" t="s">
        <v>52</v>
      </c>
      <c r="L735">
        <v>28</v>
      </c>
      <c r="M735" t="s">
        <v>27</v>
      </c>
      <c r="N735" t="s">
        <v>53</v>
      </c>
      <c r="O735">
        <v>1</v>
      </c>
      <c r="P735" t="s">
        <v>29</v>
      </c>
      <c r="Q735">
        <v>1</v>
      </c>
      <c r="R735" t="s">
        <v>30</v>
      </c>
      <c r="S735" t="s">
        <v>30</v>
      </c>
      <c r="T735" t="s">
        <v>31</v>
      </c>
    </row>
    <row r="736" spans="1:20" x14ac:dyDescent="0.35">
      <c r="A736" t="s">
        <v>794</v>
      </c>
      <c r="B736">
        <v>4</v>
      </c>
      <c r="C736" t="s">
        <v>21</v>
      </c>
      <c r="D736" t="s">
        <v>46</v>
      </c>
      <c r="E736">
        <v>371800</v>
      </c>
      <c r="F736" s="1" t="s">
        <v>1060</v>
      </c>
      <c r="G736" t="s">
        <v>38</v>
      </c>
      <c r="H736">
        <v>1</v>
      </c>
      <c r="I736" t="s">
        <v>35</v>
      </c>
      <c r="J736">
        <v>1</v>
      </c>
      <c r="K736" t="s">
        <v>26</v>
      </c>
      <c r="L736">
        <v>37</v>
      </c>
      <c r="M736" t="s">
        <v>27</v>
      </c>
      <c r="N736" t="s">
        <v>28</v>
      </c>
      <c r="O736">
        <v>1</v>
      </c>
      <c r="P736" t="s">
        <v>29</v>
      </c>
      <c r="Q736">
        <v>2</v>
      </c>
      <c r="R736" t="s">
        <v>27</v>
      </c>
      <c r="S736" t="s">
        <v>30</v>
      </c>
      <c r="T736" t="s">
        <v>31</v>
      </c>
    </row>
    <row r="737" spans="1:20" x14ac:dyDescent="0.35">
      <c r="A737" t="s">
        <v>795</v>
      </c>
      <c r="B737">
        <v>36</v>
      </c>
      <c r="C737" t="s">
        <v>81</v>
      </c>
      <c r="D737" t="s">
        <v>94</v>
      </c>
      <c r="E737">
        <v>438900</v>
      </c>
      <c r="F737" s="2" t="s">
        <v>23</v>
      </c>
      <c r="G737" t="s">
        <v>59</v>
      </c>
      <c r="H737">
        <v>3</v>
      </c>
      <c r="I737" t="s">
        <v>35</v>
      </c>
      <c r="J737">
        <v>2</v>
      </c>
      <c r="K737" t="s">
        <v>47</v>
      </c>
      <c r="L737">
        <v>29</v>
      </c>
      <c r="M737" t="s">
        <v>69</v>
      </c>
      <c r="N737" t="s">
        <v>28</v>
      </c>
      <c r="O737">
        <v>1</v>
      </c>
      <c r="P737" t="s">
        <v>105</v>
      </c>
      <c r="Q737">
        <v>1</v>
      </c>
      <c r="R737" t="s">
        <v>27</v>
      </c>
      <c r="S737" t="s">
        <v>30</v>
      </c>
      <c r="T737" t="s">
        <v>31</v>
      </c>
    </row>
    <row r="738" spans="1:20" x14ac:dyDescent="0.35">
      <c r="A738" t="s">
        <v>796</v>
      </c>
      <c r="B738">
        <v>24</v>
      </c>
      <c r="C738" t="s">
        <v>33</v>
      </c>
      <c r="D738" t="s">
        <v>51</v>
      </c>
      <c r="E738">
        <v>1271600</v>
      </c>
      <c r="F738" s="1" t="s">
        <v>1060</v>
      </c>
      <c r="G738" t="s">
        <v>34</v>
      </c>
      <c r="H738">
        <v>1</v>
      </c>
      <c r="I738" t="s">
        <v>35</v>
      </c>
      <c r="J738">
        <v>4</v>
      </c>
      <c r="K738" t="s">
        <v>52</v>
      </c>
      <c r="L738">
        <v>23</v>
      </c>
      <c r="M738" t="s">
        <v>27</v>
      </c>
      <c r="N738" t="s">
        <v>53</v>
      </c>
      <c r="O738">
        <v>2</v>
      </c>
      <c r="P738" t="s">
        <v>54</v>
      </c>
      <c r="Q738">
        <v>1</v>
      </c>
      <c r="R738" t="s">
        <v>27</v>
      </c>
      <c r="S738" t="s">
        <v>30</v>
      </c>
      <c r="T738" t="s">
        <v>31</v>
      </c>
    </row>
    <row r="739" spans="1:20" x14ac:dyDescent="0.35">
      <c r="A739" t="s">
        <v>797</v>
      </c>
      <c r="B739">
        <v>18</v>
      </c>
      <c r="C739" t="s">
        <v>33</v>
      </c>
      <c r="D739" t="s">
        <v>46</v>
      </c>
      <c r="E739">
        <v>481800</v>
      </c>
      <c r="F739" s="2" t="s">
        <v>1063</v>
      </c>
      <c r="G739" t="s">
        <v>34</v>
      </c>
      <c r="H739">
        <v>3</v>
      </c>
      <c r="I739" t="s">
        <v>25</v>
      </c>
      <c r="J739">
        <v>4</v>
      </c>
      <c r="K739" t="s">
        <v>52</v>
      </c>
      <c r="L739">
        <v>35</v>
      </c>
      <c r="M739" t="s">
        <v>27</v>
      </c>
      <c r="N739" t="s">
        <v>28</v>
      </c>
      <c r="O739">
        <v>1</v>
      </c>
      <c r="P739" t="s">
        <v>39</v>
      </c>
      <c r="Q739">
        <v>2</v>
      </c>
      <c r="R739" t="s">
        <v>30</v>
      </c>
      <c r="S739" t="s">
        <v>30</v>
      </c>
      <c r="T739" t="s">
        <v>31</v>
      </c>
    </row>
    <row r="740" spans="1:20" x14ac:dyDescent="0.35">
      <c r="A740" t="s">
        <v>798</v>
      </c>
      <c r="B740">
        <v>6</v>
      </c>
      <c r="C740" t="s">
        <v>21</v>
      </c>
      <c r="D740" t="s">
        <v>46</v>
      </c>
      <c r="E740">
        <v>743710</v>
      </c>
      <c r="F740" s="1" t="s">
        <v>1060</v>
      </c>
      <c r="G740" t="s">
        <v>38</v>
      </c>
      <c r="H740">
        <v>1</v>
      </c>
      <c r="I740" t="s">
        <v>25</v>
      </c>
      <c r="J740">
        <v>3</v>
      </c>
      <c r="K740" t="s">
        <v>47</v>
      </c>
      <c r="L740">
        <v>45</v>
      </c>
      <c r="M740" t="s">
        <v>27</v>
      </c>
      <c r="N740" t="s">
        <v>28</v>
      </c>
      <c r="O740">
        <v>2</v>
      </c>
      <c r="P740" t="s">
        <v>54</v>
      </c>
      <c r="Q740">
        <v>2</v>
      </c>
      <c r="R740" t="s">
        <v>30</v>
      </c>
      <c r="S740" t="s">
        <v>30</v>
      </c>
      <c r="T740" t="s">
        <v>31</v>
      </c>
    </row>
    <row r="741" spans="1:20" x14ac:dyDescent="0.35">
      <c r="A741" t="s">
        <v>799</v>
      </c>
      <c r="B741">
        <v>30</v>
      </c>
      <c r="C741" t="s">
        <v>68</v>
      </c>
      <c r="D741" t="s">
        <v>61</v>
      </c>
      <c r="E741">
        <v>470800</v>
      </c>
      <c r="F741" s="2" t="s">
        <v>1063</v>
      </c>
      <c r="G741" t="s">
        <v>34</v>
      </c>
      <c r="H741">
        <v>4</v>
      </c>
      <c r="I741" t="s">
        <v>35</v>
      </c>
      <c r="J741">
        <v>4</v>
      </c>
      <c r="K741" t="s">
        <v>52</v>
      </c>
      <c r="L741">
        <v>26</v>
      </c>
      <c r="M741" t="s">
        <v>27</v>
      </c>
      <c r="N741" t="s">
        <v>53</v>
      </c>
      <c r="O741">
        <v>2</v>
      </c>
      <c r="P741" t="s">
        <v>39</v>
      </c>
      <c r="Q741">
        <v>1</v>
      </c>
      <c r="R741" t="s">
        <v>27</v>
      </c>
      <c r="S741" t="s">
        <v>30</v>
      </c>
      <c r="T741" t="s">
        <v>31</v>
      </c>
    </row>
    <row r="742" spans="1:20" x14ac:dyDescent="0.35">
      <c r="A742" t="s">
        <v>800</v>
      </c>
      <c r="B742">
        <v>24</v>
      </c>
      <c r="C742" t="s">
        <v>81</v>
      </c>
      <c r="D742" t="s">
        <v>46</v>
      </c>
      <c r="E742">
        <v>255750</v>
      </c>
      <c r="F742" s="1" t="s">
        <v>1063</v>
      </c>
      <c r="G742" t="s">
        <v>38</v>
      </c>
      <c r="H742">
        <v>2</v>
      </c>
      <c r="I742" t="s">
        <v>25</v>
      </c>
      <c r="J742">
        <v>3</v>
      </c>
      <c r="K742" t="s">
        <v>52</v>
      </c>
      <c r="L742">
        <v>32</v>
      </c>
      <c r="M742" t="s">
        <v>69</v>
      </c>
      <c r="N742" t="s">
        <v>28</v>
      </c>
      <c r="O742">
        <v>1</v>
      </c>
      <c r="P742" t="s">
        <v>29</v>
      </c>
      <c r="Q742">
        <v>1</v>
      </c>
      <c r="R742" t="s">
        <v>27</v>
      </c>
      <c r="S742" t="s">
        <v>30</v>
      </c>
      <c r="T742" t="s">
        <v>31</v>
      </c>
    </row>
    <row r="743" spans="1:20" x14ac:dyDescent="0.35">
      <c r="A743" t="s">
        <v>801</v>
      </c>
      <c r="B743">
        <v>10</v>
      </c>
      <c r="C743" t="s">
        <v>81</v>
      </c>
      <c r="D743" t="s">
        <v>22</v>
      </c>
      <c r="E743">
        <v>115280</v>
      </c>
      <c r="F743" s="2" t="s">
        <v>1060</v>
      </c>
      <c r="G743" t="s">
        <v>34</v>
      </c>
      <c r="H743">
        <v>4</v>
      </c>
      <c r="I743" t="s">
        <v>25</v>
      </c>
      <c r="J743">
        <v>4</v>
      </c>
      <c r="K743" t="s">
        <v>26</v>
      </c>
      <c r="L743">
        <v>23</v>
      </c>
      <c r="M743" t="s">
        <v>86</v>
      </c>
      <c r="N743" t="s">
        <v>28</v>
      </c>
      <c r="O743">
        <v>1</v>
      </c>
      <c r="P743" t="s">
        <v>39</v>
      </c>
      <c r="Q743">
        <v>1</v>
      </c>
      <c r="R743" t="s">
        <v>27</v>
      </c>
      <c r="S743" t="s">
        <v>30</v>
      </c>
      <c r="T743" t="s">
        <v>31</v>
      </c>
    </row>
    <row r="744" spans="1:20" x14ac:dyDescent="0.35">
      <c r="A744" t="s">
        <v>802</v>
      </c>
      <c r="B744">
        <v>21</v>
      </c>
      <c r="C744" t="s">
        <v>33</v>
      </c>
      <c r="D744" t="s">
        <v>22</v>
      </c>
      <c r="E744">
        <v>347600</v>
      </c>
      <c r="F744" s="1" t="s">
        <v>23</v>
      </c>
      <c r="G744" t="s">
        <v>24</v>
      </c>
      <c r="H744">
        <v>4</v>
      </c>
      <c r="I744" t="s">
        <v>25</v>
      </c>
      <c r="J744">
        <v>3</v>
      </c>
      <c r="K744" t="s">
        <v>42</v>
      </c>
      <c r="L744">
        <v>41</v>
      </c>
      <c r="M744" t="s">
        <v>27</v>
      </c>
      <c r="N744" t="s">
        <v>28</v>
      </c>
      <c r="O744">
        <v>1</v>
      </c>
      <c r="P744" t="s">
        <v>29</v>
      </c>
      <c r="Q744">
        <v>1</v>
      </c>
      <c r="R744" t="s">
        <v>30</v>
      </c>
      <c r="S744" t="s">
        <v>30</v>
      </c>
      <c r="T744" t="s">
        <v>31</v>
      </c>
    </row>
    <row r="745" spans="1:20" x14ac:dyDescent="0.35">
      <c r="A745" t="s">
        <v>803</v>
      </c>
      <c r="B745">
        <v>24</v>
      </c>
      <c r="C745" t="s">
        <v>81</v>
      </c>
      <c r="D745" t="s">
        <v>41</v>
      </c>
      <c r="E745">
        <v>273130</v>
      </c>
      <c r="F745" s="2" t="s">
        <v>1061</v>
      </c>
      <c r="G745" t="s">
        <v>34</v>
      </c>
      <c r="H745">
        <v>4</v>
      </c>
      <c r="I745" t="s">
        <v>25</v>
      </c>
      <c r="J745">
        <v>4</v>
      </c>
      <c r="K745" t="s">
        <v>26</v>
      </c>
      <c r="L745">
        <v>22</v>
      </c>
      <c r="M745" t="s">
        <v>86</v>
      </c>
      <c r="N745" t="s">
        <v>28</v>
      </c>
      <c r="O745">
        <v>1</v>
      </c>
      <c r="P745" t="s">
        <v>29</v>
      </c>
      <c r="Q745">
        <v>1</v>
      </c>
      <c r="R745" t="s">
        <v>30</v>
      </c>
      <c r="S745" t="s">
        <v>30</v>
      </c>
      <c r="T745" t="s">
        <v>31</v>
      </c>
    </row>
    <row r="746" spans="1:20" x14ac:dyDescent="0.35">
      <c r="A746" t="s">
        <v>804</v>
      </c>
      <c r="B746">
        <v>39</v>
      </c>
      <c r="C746" t="s">
        <v>21</v>
      </c>
      <c r="D746" t="s">
        <v>41</v>
      </c>
      <c r="E746">
        <v>1559690</v>
      </c>
      <c r="F746" s="1" t="s">
        <v>23</v>
      </c>
      <c r="G746" t="s">
        <v>38</v>
      </c>
      <c r="H746">
        <v>4</v>
      </c>
      <c r="I746" t="s">
        <v>25</v>
      </c>
      <c r="J746">
        <v>4</v>
      </c>
      <c r="K746" t="s">
        <v>42</v>
      </c>
      <c r="L746">
        <v>30</v>
      </c>
      <c r="M746" t="s">
        <v>27</v>
      </c>
      <c r="N746" t="s">
        <v>28</v>
      </c>
      <c r="O746">
        <v>2</v>
      </c>
      <c r="P746" t="s">
        <v>54</v>
      </c>
      <c r="Q746">
        <v>1</v>
      </c>
      <c r="R746" t="s">
        <v>30</v>
      </c>
      <c r="S746" t="s">
        <v>30</v>
      </c>
      <c r="T746" t="s">
        <v>31</v>
      </c>
    </row>
    <row r="747" spans="1:20" x14ac:dyDescent="0.35">
      <c r="A747" t="s">
        <v>805</v>
      </c>
      <c r="B747">
        <v>13</v>
      </c>
      <c r="C747" t="s">
        <v>21</v>
      </c>
      <c r="D747" t="s">
        <v>61</v>
      </c>
      <c r="E747">
        <v>197670</v>
      </c>
      <c r="F747" s="2" t="s">
        <v>1060</v>
      </c>
      <c r="G747" t="s">
        <v>59</v>
      </c>
      <c r="H747">
        <v>3</v>
      </c>
      <c r="I747" t="s">
        <v>25</v>
      </c>
      <c r="J747">
        <v>1</v>
      </c>
      <c r="K747" t="s">
        <v>42</v>
      </c>
      <c r="L747">
        <v>28</v>
      </c>
      <c r="M747" t="s">
        <v>69</v>
      </c>
      <c r="N747" t="s">
        <v>28</v>
      </c>
      <c r="O747">
        <v>2</v>
      </c>
      <c r="P747" t="s">
        <v>39</v>
      </c>
      <c r="Q747">
        <v>1</v>
      </c>
      <c r="R747" t="s">
        <v>27</v>
      </c>
      <c r="S747" t="s">
        <v>30</v>
      </c>
      <c r="T747" t="s">
        <v>31</v>
      </c>
    </row>
    <row r="748" spans="1:20" x14ac:dyDescent="0.35">
      <c r="A748" t="s">
        <v>806</v>
      </c>
      <c r="B748">
        <v>15</v>
      </c>
      <c r="C748" t="s">
        <v>33</v>
      </c>
      <c r="D748" t="s">
        <v>46</v>
      </c>
      <c r="E748">
        <v>276210</v>
      </c>
      <c r="F748" s="1" t="s">
        <v>1060</v>
      </c>
      <c r="G748" t="s">
        <v>57</v>
      </c>
      <c r="H748">
        <v>1</v>
      </c>
      <c r="I748" t="s">
        <v>35</v>
      </c>
      <c r="J748">
        <v>4</v>
      </c>
      <c r="K748" t="s">
        <v>52</v>
      </c>
      <c r="L748">
        <v>23</v>
      </c>
      <c r="M748" t="s">
        <v>27</v>
      </c>
      <c r="N748" t="s">
        <v>53</v>
      </c>
      <c r="O748">
        <v>1</v>
      </c>
      <c r="P748" t="s">
        <v>29</v>
      </c>
      <c r="Q748">
        <v>1</v>
      </c>
      <c r="R748" t="s">
        <v>27</v>
      </c>
      <c r="S748" t="s">
        <v>30</v>
      </c>
      <c r="T748" t="s">
        <v>31</v>
      </c>
    </row>
    <row r="749" spans="1:20" x14ac:dyDescent="0.35">
      <c r="A749" t="s">
        <v>807</v>
      </c>
      <c r="B749">
        <v>12</v>
      </c>
      <c r="C749" t="s">
        <v>33</v>
      </c>
      <c r="D749" t="s">
        <v>46</v>
      </c>
      <c r="E749">
        <v>140140</v>
      </c>
      <c r="F749" s="2" t="s">
        <v>1060</v>
      </c>
      <c r="G749" t="s">
        <v>59</v>
      </c>
      <c r="H749">
        <v>3</v>
      </c>
      <c r="I749" t="s">
        <v>35</v>
      </c>
      <c r="J749">
        <v>1</v>
      </c>
      <c r="K749" t="s">
        <v>26</v>
      </c>
      <c r="L749">
        <v>37</v>
      </c>
      <c r="M749" t="s">
        <v>27</v>
      </c>
      <c r="N749" t="s">
        <v>28</v>
      </c>
      <c r="O749">
        <v>1</v>
      </c>
      <c r="P749" t="s">
        <v>39</v>
      </c>
      <c r="Q749">
        <v>1</v>
      </c>
      <c r="R749" t="s">
        <v>27</v>
      </c>
      <c r="S749" t="s">
        <v>30</v>
      </c>
      <c r="T749" t="s">
        <v>31</v>
      </c>
    </row>
    <row r="750" spans="1:20" x14ac:dyDescent="0.35">
      <c r="A750" t="s">
        <v>808</v>
      </c>
      <c r="B750">
        <v>21</v>
      </c>
      <c r="C750" t="s">
        <v>33</v>
      </c>
      <c r="D750" t="s">
        <v>51</v>
      </c>
      <c r="E750">
        <v>577280</v>
      </c>
      <c r="F750" s="1" t="s">
        <v>23</v>
      </c>
      <c r="G750" t="s">
        <v>34</v>
      </c>
      <c r="H750">
        <v>1</v>
      </c>
      <c r="I750" t="s">
        <v>25</v>
      </c>
      <c r="J750">
        <v>3</v>
      </c>
      <c r="K750" t="s">
        <v>52</v>
      </c>
      <c r="L750">
        <v>26</v>
      </c>
      <c r="M750" t="s">
        <v>27</v>
      </c>
      <c r="N750" t="s">
        <v>28</v>
      </c>
      <c r="O750">
        <v>1</v>
      </c>
      <c r="P750" t="s">
        <v>29</v>
      </c>
      <c r="Q750">
        <v>1</v>
      </c>
      <c r="R750" t="s">
        <v>27</v>
      </c>
      <c r="S750" t="s">
        <v>30</v>
      </c>
      <c r="T750" t="s">
        <v>31</v>
      </c>
    </row>
    <row r="751" spans="1:20" x14ac:dyDescent="0.35">
      <c r="A751" t="s">
        <v>809</v>
      </c>
      <c r="B751">
        <v>15</v>
      </c>
      <c r="C751" t="s">
        <v>33</v>
      </c>
      <c r="D751" t="s">
        <v>51</v>
      </c>
      <c r="E751">
        <v>333190</v>
      </c>
      <c r="F751" s="2" t="s">
        <v>1060</v>
      </c>
      <c r="G751" t="s">
        <v>38</v>
      </c>
      <c r="H751">
        <v>2</v>
      </c>
      <c r="I751" t="s">
        <v>25</v>
      </c>
      <c r="J751">
        <v>2</v>
      </c>
      <c r="K751" t="s">
        <v>52</v>
      </c>
      <c r="L751">
        <v>33</v>
      </c>
      <c r="M751" t="s">
        <v>27</v>
      </c>
      <c r="N751" t="s">
        <v>28</v>
      </c>
      <c r="O751">
        <v>1</v>
      </c>
      <c r="P751" t="s">
        <v>29</v>
      </c>
      <c r="Q751">
        <v>1</v>
      </c>
      <c r="R751" t="s">
        <v>27</v>
      </c>
      <c r="S751" t="s">
        <v>30</v>
      </c>
      <c r="T751" t="s">
        <v>31</v>
      </c>
    </row>
    <row r="752" spans="1:20" x14ac:dyDescent="0.35">
      <c r="A752" t="s">
        <v>810</v>
      </c>
      <c r="B752">
        <v>6</v>
      </c>
      <c r="C752" t="s">
        <v>33</v>
      </c>
      <c r="D752" t="s">
        <v>41</v>
      </c>
      <c r="E752">
        <v>47080</v>
      </c>
      <c r="F752" s="1" t="s">
        <v>1060</v>
      </c>
      <c r="G752" t="s">
        <v>24</v>
      </c>
      <c r="H752">
        <v>2</v>
      </c>
      <c r="I752" t="s">
        <v>35</v>
      </c>
      <c r="J752">
        <v>1</v>
      </c>
      <c r="K752" t="s">
        <v>42</v>
      </c>
      <c r="L752">
        <v>49</v>
      </c>
      <c r="M752" t="s">
        <v>69</v>
      </c>
      <c r="N752" t="s">
        <v>28</v>
      </c>
      <c r="O752">
        <v>1</v>
      </c>
      <c r="P752" t="s">
        <v>29</v>
      </c>
      <c r="Q752">
        <v>1</v>
      </c>
      <c r="R752" t="s">
        <v>30</v>
      </c>
      <c r="S752" t="s">
        <v>30</v>
      </c>
      <c r="T752" t="s">
        <v>31</v>
      </c>
    </row>
    <row r="753" spans="1:20" x14ac:dyDescent="0.35">
      <c r="A753" t="s">
        <v>811</v>
      </c>
      <c r="B753">
        <v>18</v>
      </c>
      <c r="C753" t="s">
        <v>33</v>
      </c>
      <c r="D753" t="s">
        <v>46</v>
      </c>
      <c r="E753">
        <v>107360</v>
      </c>
      <c r="F753" s="2" t="s">
        <v>1060</v>
      </c>
      <c r="G753" t="s">
        <v>59</v>
      </c>
      <c r="H753">
        <v>1</v>
      </c>
      <c r="I753" t="s">
        <v>35</v>
      </c>
      <c r="J753">
        <v>2</v>
      </c>
      <c r="K753" t="s">
        <v>52</v>
      </c>
      <c r="L753">
        <v>23</v>
      </c>
      <c r="M753" t="s">
        <v>27</v>
      </c>
      <c r="N753" t="s">
        <v>28</v>
      </c>
      <c r="O753">
        <v>1</v>
      </c>
      <c r="P753" t="s">
        <v>39</v>
      </c>
      <c r="Q753">
        <v>1</v>
      </c>
      <c r="R753" t="s">
        <v>27</v>
      </c>
      <c r="S753" t="s">
        <v>30</v>
      </c>
      <c r="T753" t="s">
        <v>31</v>
      </c>
    </row>
    <row r="754" spans="1:20" x14ac:dyDescent="0.35">
      <c r="A754" t="s">
        <v>812</v>
      </c>
      <c r="B754">
        <v>12</v>
      </c>
      <c r="C754" t="s">
        <v>33</v>
      </c>
      <c r="D754" t="s">
        <v>61</v>
      </c>
      <c r="E754">
        <v>92510</v>
      </c>
      <c r="F754" s="1" t="s">
        <v>1063</v>
      </c>
      <c r="G754" t="s">
        <v>38</v>
      </c>
      <c r="H754">
        <v>2</v>
      </c>
      <c r="I754" t="s">
        <v>35</v>
      </c>
      <c r="J754">
        <v>4</v>
      </c>
      <c r="K754" t="s">
        <v>26</v>
      </c>
      <c r="L754">
        <v>23</v>
      </c>
      <c r="M754" t="s">
        <v>27</v>
      </c>
      <c r="N754" t="s">
        <v>53</v>
      </c>
      <c r="O754">
        <v>1</v>
      </c>
      <c r="P754" t="s">
        <v>39</v>
      </c>
      <c r="Q754">
        <v>1</v>
      </c>
      <c r="R754" t="s">
        <v>27</v>
      </c>
      <c r="S754" t="s">
        <v>30</v>
      </c>
      <c r="T754" t="s">
        <v>31</v>
      </c>
    </row>
    <row r="755" spans="1:20" x14ac:dyDescent="0.35">
      <c r="A755" t="s">
        <v>813</v>
      </c>
      <c r="B755">
        <v>30</v>
      </c>
      <c r="C755" t="s">
        <v>21</v>
      </c>
      <c r="D755" t="s">
        <v>22</v>
      </c>
      <c r="E755">
        <v>634810</v>
      </c>
      <c r="F755" s="2" t="s">
        <v>1060</v>
      </c>
      <c r="G755" t="s">
        <v>38</v>
      </c>
      <c r="H755">
        <v>4</v>
      </c>
      <c r="I755" t="s">
        <v>35</v>
      </c>
      <c r="J755">
        <v>2</v>
      </c>
      <c r="K755" t="s">
        <v>52</v>
      </c>
      <c r="L755">
        <v>25</v>
      </c>
      <c r="M755" t="s">
        <v>27</v>
      </c>
      <c r="N755" t="s">
        <v>28</v>
      </c>
      <c r="O755">
        <v>2</v>
      </c>
      <c r="P755" t="s">
        <v>29</v>
      </c>
      <c r="Q755">
        <v>1</v>
      </c>
      <c r="R755" t="s">
        <v>27</v>
      </c>
      <c r="S755" t="s">
        <v>30</v>
      </c>
      <c r="T755" t="s">
        <v>31</v>
      </c>
    </row>
    <row r="756" spans="1:20" x14ac:dyDescent="0.35">
      <c r="A756" t="s">
        <v>814</v>
      </c>
      <c r="B756">
        <v>12</v>
      </c>
      <c r="C756" t="s">
        <v>45</v>
      </c>
      <c r="D756" t="s">
        <v>99</v>
      </c>
      <c r="E756">
        <v>171050</v>
      </c>
      <c r="F756" s="1" t="s">
        <v>1062</v>
      </c>
      <c r="G756" t="s">
        <v>24</v>
      </c>
      <c r="H756">
        <v>4</v>
      </c>
      <c r="I756" t="s">
        <v>25</v>
      </c>
      <c r="J756">
        <v>4</v>
      </c>
      <c r="K756" t="s">
        <v>47</v>
      </c>
      <c r="L756">
        <v>55</v>
      </c>
      <c r="M756" t="s">
        <v>27</v>
      </c>
      <c r="N756" t="s">
        <v>43</v>
      </c>
      <c r="O756">
        <v>2</v>
      </c>
      <c r="P756" t="s">
        <v>29</v>
      </c>
      <c r="Q756">
        <v>2</v>
      </c>
      <c r="R756" t="s">
        <v>27</v>
      </c>
      <c r="S756" t="s">
        <v>30</v>
      </c>
      <c r="T756" t="s">
        <v>31</v>
      </c>
    </row>
    <row r="757" spans="1:20" x14ac:dyDescent="0.35">
      <c r="A757" t="s">
        <v>815</v>
      </c>
      <c r="B757">
        <v>24</v>
      </c>
      <c r="C757" t="s">
        <v>33</v>
      </c>
      <c r="D757" t="s">
        <v>46</v>
      </c>
      <c r="E757">
        <v>141350</v>
      </c>
      <c r="F757" s="2" t="s">
        <v>23</v>
      </c>
      <c r="G757" t="s">
        <v>38</v>
      </c>
      <c r="H757">
        <v>4</v>
      </c>
      <c r="I757" t="s">
        <v>35</v>
      </c>
      <c r="J757">
        <v>4</v>
      </c>
      <c r="K757" t="s">
        <v>47</v>
      </c>
      <c r="L757">
        <v>32</v>
      </c>
      <c r="M757" t="s">
        <v>27</v>
      </c>
      <c r="N757" t="s">
        <v>53</v>
      </c>
      <c r="O757">
        <v>1</v>
      </c>
      <c r="P757" t="s">
        <v>29</v>
      </c>
      <c r="Q757">
        <v>1</v>
      </c>
      <c r="R757" t="s">
        <v>27</v>
      </c>
      <c r="S757" t="s">
        <v>30</v>
      </c>
      <c r="T757" t="s">
        <v>31</v>
      </c>
    </row>
    <row r="758" spans="1:20" x14ac:dyDescent="0.35">
      <c r="A758" t="s">
        <v>816</v>
      </c>
      <c r="B758">
        <v>6</v>
      </c>
      <c r="C758" t="s">
        <v>21</v>
      </c>
      <c r="D758" t="s">
        <v>46</v>
      </c>
      <c r="E758">
        <v>142890</v>
      </c>
      <c r="F758" s="1" t="s">
        <v>1060</v>
      </c>
      <c r="G758" t="s">
        <v>34</v>
      </c>
      <c r="H758">
        <v>1</v>
      </c>
      <c r="I758" t="s">
        <v>25</v>
      </c>
      <c r="J758">
        <v>1</v>
      </c>
      <c r="K758" t="s">
        <v>26</v>
      </c>
      <c r="L758">
        <v>74</v>
      </c>
      <c r="M758" t="s">
        <v>27</v>
      </c>
      <c r="N758" t="s">
        <v>28</v>
      </c>
      <c r="O758">
        <v>3</v>
      </c>
      <c r="P758" t="s">
        <v>105</v>
      </c>
      <c r="Q758">
        <v>2</v>
      </c>
      <c r="R758" t="s">
        <v>27</v>
      </c>
      <c r="S758" t="s">
        <v>75</v>
      </c>
      <c r="T758" t="s">
        <v>31</v>
      </c>
    </row>
    <row r="759" spans="1:20" x14ac:dyDescent="0.35">
      <c r="A759" t="s">
        <v>817</v>
      </c>
      <c r="B759">
        <v>15</v>
      </c>
      <c r="C759" t="s">
        <v>21</v>
      </c>
      <c r="D759" t="s">
        <v>22</v>
      </c>
      <c r="E759">
        <v>139810</v>
      </c>
      <c r="F759" s="2" t="s">
        <v>23</v>
      </c>
      <c r="G759" t="s">
        <v>34</v>
      </c>
      <c r="H759">
        <v>3</v>
      </c>
      <c r="I759" t="s">
        <v>25</v>
      </c>
      <c r="J759">
        <v>4</v>
      </c>
      <c r="K759" t="s">
        <v>47</v>
      </c>
      <c r="L759">
        <v>39</v>
      </c>
      <c r="M759" t="s">
        <v>27</v>
      </c>
      <c r="N759" t="s">
        <v>43</v>
      </c>
      <c r="O759">
        <v>2</v>
      </c>
      <c r="P759" t="s">
        <v>29</v>
      </c>
      <c r="Q759">
        <v>1</v>
      </c>
      <c r="R759" t="s">
        <v>30</v>
      </c>
      <c r="S759" t="s">
        <v>30</v>
      </c>
      <c r="T759" t="s">
        <v>31</v>
      </c>
    </row>
    <row r="760" spans="1:20" x14ac:dyDescent="0.35">
      <c r="A760" t="s">
        <v>818</v>
      </c>
      <c r="B760">
        <v>24</v>
      </c>
      <c r="C760" t="s">
        <v>33</v>
      </c>
      <c r="D760" t="s">
        <v>46</v>
      </c>
      <c r="E760">
        <v>153230</v>
      </c>
      <c r="F760" s="1" t="s">
        <v>1060</v>
      </c>
      <c r="G760" t="s">
        <v>34</v>
      </c>
      <c r="H760">
        <v>2</v>
      </c>
      <c r="I760" t="s">
        <v>25</v>
      </c>
      <c r="J760">
        <v>2</v>
      </c>
      <c r="K760" t="s">
        <v>26</v>
      </c>
      <c r="L760">
        <v>31</v>
      </c>
      <c r="M760" t="s">
        <v>27</v>
      </c>
      <c r="N760" t="s">
        <v>28</v>
      </c>
      <c r="O760">
        <v>1</v>
      </c>
      <c r="P760" t="s">
        <v>29</v>
      </c>
      <c r="Q760">
        <v>1</v>
      </c>
      <c r="R760" t="s">
        <v>30</v>
      </c>
      <c r="S760" t="s">
        <v>30</v>
      </c>
      <c r="T760" t="s">
        <v>31</v>
      </c>
    </row>
    <row r="761" spans="1:20" x14ac:dyDescent="0.35">
      <c r="A761" t="s">
        <v>819</v>
      </c>
      <c r="B761">
        <v>12</v>
      </c>
      <c r="C761" t="s">
        <v>21</v>
      </c>
      <c r="D761" t="s">
        <v>46</v>
      </c>
      <c r="E761">
        <v>76010</v>
      </c>
      <c r="F761" s="2" t="s">
        <v>1060</v>
      </c>
      <c r="G761" t="s">
        <v>24</v>
      </c>
      <c r="H761">
        <v>4</v>
      </c>
      <c r="I761" t="s">
        <v>25</v>
      </c>
      <c r="J761">
        <v>3</v>
      </c>
      <c r="K761" t="s">
        <v>42</v>
      </c>
      <c r="L761">
        <v>35</v>
      </c>
      <c r="M761" t="s">
        <v>27</v>
      </c>
      <c r="N761" t="s">
        <v>28</v>
      </c>
      <c r="O761">
        <v>2</v>
      </c>
      <c r="P761" t="s">
        <v>29</v>
      </c>
      <c r="Q761">
        <v>1</v>
      </c>
      <c r="R761" t="s">
        <v>27</v>
      </c>
      <c r="S761" t="s">
        <v>30</v>
      </c>
      <c r="T761" t="s">
        <v>31</v>
      </c>
    </row>
    <row r="762" spans="1:20" x14ac:dyDescent="0.35">
      <c r="A762" t="s">
        <v>820</v>
      </c>
      <c r="B762">
        <v>15</v>
      </c>
      <c r="C762" t="s">
        <v>21</v>
      </c>
      <c r="D762" t="s">
        <v>46</v>
      </c>
      <c r="E762">
        <v>554950</v>
      </c>
      <c r="F762" s="1" t="s">
        <v>23</v>
      </c>
      <c r="G762" t="s">
        <v>24</v>
      </c>
      <c r="H762">
        <v>1</v>
      </c>
      <c r="I762" t="s">
        <v>35</v>
      </c>
      <c r="J762">
        <v>4</v>
      </c>
      <c r="K762" t="s">
        <v>52</v>
      </c>
      <c r="L762">
        <v>59</v>
      </c>
      <c r="M762" t="s">
        <v>27</v>
      </c>
      <c r="N762" t="s">
        <v>28</v>
      </c>
      <c r="O762">
        <v>1</v>
      </c>
      <c r="P762" t="s">
        <v>29</v>
      </c>
      <c r="Q762">
        <v>1</v>
      </c>
      <c r="R762" t="s">
        <v>30</v>
      </c>
      <c r="S762" t="s">
        <v>30</v>
      </c>
      <c r="T762" t="s">
        <v>31</v>
      </c>
    </row>
    <row r="763" spans="1:20" x14ac:dyDescent="0.35">
      <c r="A763" t="s">
        <v>821</v>
      </c>
      <c r="B763">
        <v>18</v>
      </c>
      <c r="C763" t="s">
        <v>21</v>
      </c>
      <c r="D763" t="s">
        <v>41</v>
      </c>
      <c r="E763">
        <v>233640</v>
      </c>
      <c r="F763" s="2" t="s">
        <v>1060</v>
      </c>
      <c r="G763" t="s">
        <v>34</v>
      </c>
      <c r="H763">
        <v>4</v>
      </c>
      <c r="I763" t="s">
        <v>35</v>
      </c>
      <c r="J763">
        <v>4</v>
      </c>
      <c r="K763" t="s">
        <v>26</v>
      </c>
      <c r="L763">
        <v>24</v>
      </c>
      <c r="M763" t="s">
        <v>27</v>
      </c>
      <c r="N763" t="s">
        <v>53</v>
      </c>
      <c r="O763">
        <v>2</v>
      </c>
      <c r="P763" t="s">
        <v>29</v>
      </c>
      <c r="Q763">
        <v>1</v>
      </c>
      <c r="R763" t="s">
        <v>27</v>
      </c>
      <c r="S763" t="s">
        <v>30</v>
      </c>
      <c r="T763" t="s">
        <v>31</v>
      </c>
    </row>
    <row r="764" spans="1:20" x14ac:dyDescent="0.35">
      <c r="A764" t="s">
        <v>822</v>
      </c>
      <c r="B764">
        <v>12</v>
      </c>
      <c r="C764" t="s">
        <v>33</v>
      </c>
      <c r="D764" t="s">
        <v>22</v>
      </c>
      <c r="E764">
        <v>243540</v>
      </c>
      <c r="F764" s="1" t="s">
        <v>1060</v>
      </c>
      <c r="G764" t="s">
        <v>34</v>
      </c>
      <c r="H764">
        <v>4</v>
      </c>
      <c r="I764" t="s">
        <v>25</v>
      </c>
      <c r="J764">
        <v>3</v>
      </c>
      <c r="K764" t="s">
        <v>42</v>
      </c>
      <c r="L764">
        <v>24</v>
      </c>
      <c r="M764" t="s">
        <v>27</v>
      </c>
      <c r="N764" t="s">
        <v>28</v>
      </c>
      <c r="O764">
        <v>1</v>
      </c>
      <c r="P764" t="s">
        <v>39</v>
      </c>
      <c r="Q764">
        <v>1</v>
      </c>
      <c r="R764" t="s">
        <v>27</v>
      </c>
      <c r="S764" t="s">
        <v>30</v>
      </c>
      <c r="T764" t="s">
        <v>31</v>
      </c>
    </row>
    <row r="765" spans="1:20" x14ac:dyDescent="0.35">
      <c r="A765" t="s">
        <v>823</v>
      </c>
      <c r="B765">
        <v>21</v>
      </c>
      <c r="C765" t="s">
        <v>21</v>
      </c>
      <c r="D765" t="s">
        <v>46</v>
      </c>
      <c r="E765">
        <v>1394800</v>
      </c>
      <c r="F765" s="2" t="s">
        <v>23</v>
      </c>
      <c r="G765" t="s">
        <v>24</v>
      </c>
      <c r="H765">
        <v>4</v>
      </c>
      <c r="I765" t="s">
        <v>25</v>
      </c>
      <c r="J765">
        <v>4</v>
      </c>
      <c r="K765" t="s">
        <v>47</v>
      </c>
      <c r="L765">
        <v>30</v>
      </c>
      <c r="M765" t="s">
        <v>27</v>
      </c>
      <c r="N765" t="s">
        <v>43</v>
      </c>
      <c r="O765">
        <v>1</v>
      </c>
      <c r="P765" t="s">
        <v>54</v>
      </c>
      <c r="Q765">
        <v>1</v>
      </c>
      <c r="R765" t="s">
        <v>30</v>
      </c>
      <c r="S765" t="s">
        <v>30</v>
      </c>
      <c r="T765" t="s">
        <v>31</v>
      </c>
    </row>
    <row r="766" spans="1:20" x14ac:dyDescent="0.35">
      <c r="A766" t="s">
        <v>824</v>
      </c>
      <c r="B766">
        <v>24</v>
      </c>
      <c r="C766" t="s">
        <v>21</v>
      </c>
      <c r="D766" t="s">
        <v>46</v>
      </c>
      <c r="E766">
        <v>270930</v>
      </c>
      <c r="F766" s="1" t="s">
        <v>1063</v>
      </c>
      <c r="G766" t="s">
        <v>38</v>
      </c>
      <c r="H766">
        <v>4</v>
      </c>
      <c r="I766" t="s">
        <v>25</v>
      </c>
      <c r="J766">
        <v>3</v>
      </c>
      <c r="K766" t="s">
        <v>42</v>
      </c>
      <c r="L766">
        <v>27</v>
      </c>
      <c r="M766" t="s">
        <v>27</v>
      </c>
      <c r="N766" t="s">
        <v>28</v>
      </c>
      <c r="O766">
        <v>2</v>
      </c>
      <c r="P766" t="s">
        <v>29</v>
      </c>
      <c r="Q766">
        <v>1</v>
      </c>
      <c r="R766" t="s">
        <v>30</v>
      </c>
      <c r="S766" t="s">
        <v>30</v>
      </c>
      <c r="T766" t="s">
        <v>31</v>
      </c>
    </row>
    <row r="767" spans="1:20" x14ac:dyDescent="0.35">
      <c r="A767" t="s">
        <v>825</v>
      </c>
      <c r="B767">
        <v>12</v>
      </c>
      <c r="C767" t="s">
        <v>33</v>
      </c>
      <c r="D767" t="s">
        <v>22</v>
      </c>
      <c r="E767">
        <v>127050</v>
      </c>
      <c r="F767" s="2" t="s">
        <v>1060</v>
      </c>
      <c r="G767" t="s">
        <v>24</v>
      </c>
      <c r="H767">
        <v>3</v>
      </c>
      <c r="I767" t="s">
        <v>25</v>
      </c>
      <c r="J767">
        <v>3</v>
      </c>
      <c r="K767" t="s">
        <v>26</v>
      </c>
      <c r="L767">
        <v>40</v>
      </c>
      <c r="M767" t="s">
        <v>69</v>
      </c>
      <c r="N767" t="s">
        <v>28</v>
      </c>
      <c r="O767">
        <v>2</v>
      </c>
      <c r="P767" t="s">
        <v>39</v>
      </c>
      <c r="Q767">
        <v>1</v>
      </c>
      <c r="R767" t="s">
        <v>27</v>
      </c>
      <c r="S767" t="s">
        <v>30</v>
      </c>
      <c r="T767" t="s">
        <v>31</v>
      </c>
    </row>
    <row r="768" spans="1:20" x14ac:dyDescent="0.35">
      <c r="A768" t="s">
        <v>826</v>
      </c>
      <c r="B768">
        <v>30</v>
      </c>
      <c r="C768" t="s">
        <v>33</v>
      </c>
      <c r="D768" t="s">
        <v>41</v>
      </c>
      <c r="E768">
        <v>341880</v>
      </c>
      <c r="F768" s="1" t="s">
        <v>1060</v>
      </c>
      <c r="G768" t="s">
        <v>59</v>
      </c>
      <c r="H768">
        <v>2</v>
      </c>
      <c r="I768" t="s">
        <v>25</v>
      </c>
      <c r="J768">
        <v>4</v>
      </c>
      <c r="K768" t="s">
        <v>42</v>
      </c>
      <c r="L768">
        <v>31</v>
      </c>
      <c r="M768" t="s">
        <v>27</v>
      </c>
      <c r="N768" t="s">
        <v>28</v>
      </c>
      <c r="O768">
        <v>1</v>
      </c>
      <c r="P768" t="s">
        <v>39</v>
      </c>
      <c r="Q768">
        <v>1</v>
      </c>
      <c r="R768" t="s">
        <v>27</v>
      </c>
      <c r="S768" t="s">
        <v>30</v>
      </c>
      <c r="T768" t="s">
        <v>31</v>
      </c>
    </row>
    <row r="769" spans="1:20" x14ac:dyDescent="0.35">
      <c r="A769" t="s">
        <v>827</v>
      </c>
      <c r="B769">
        <v>10</v>
      </c>
      <c r="C769" t="s">
        <v>33</v>
      </c>
      <c r="D769" t="s">
        <v>51</v>
      </c>
      <c r="E769">
        <v>319110</v>
      </c>
      <c r="F769" s="2" t="s">
        <v>23</v>
      </c>
      <c r="G769" t="s">
        <v>59</v>
      </c>
      <c r="H769">
        <v>1</v>
      </c>
      <c r="I769" t="s">
        <v>35</v>
      </c>
      <c r="J769">
        <v>4</v>
      </c>
      <c r="K769" t="s">
        <v>26</v>
      </c>
      <c r="L769">
        <v>31</v>
      </c>
      <c r="M769" t="s">
        <v>27</v>
      </c>
      <c r="N769" t="s">
        <v>53</v>
      </c>
      <c r="O769">
        <v>1</v>
      </c>
      <c r="P769" t="s">
        <v>29</v>
      </c>
      <c r="Q769">
        <v>1</v>
      </c>
      <c r="R769" t="s">
        <v>27</v>
      </c>
      <c r="S769" t="s">
        <v>30</v>
      </c>
      <c r="T769" t="s">
        <v>31</v>
      </c>
    </row>
    <row r="770" spans="1:20" x14ac:dyDescent="0.35">
      <c r="A770" t="s">
        <v>828</v>
      </c>
      <c r="B770">
        <v>12</v>
      </c>
      <c r="C770" t="s">
        <v>21</v>
      </c>
      <c r="D770" t="s">
        <v>41</v>
      </c>
      <c r="E770">
        <v>397870</v>
      </c>
      <c r="F770" s="1" t="s">
        <v>1060</v>
      </c>
      <c r="G770" t="s">
        <v>24</v>
      </c>
      <c r="H770">
        <v>1</v>
      </c>
      <c r="I770" t="s">
        <v>25</v>
      </c>
      <c r="J770">
        <v>4</v>
      </c>
      <c r="K770" t="s">
        <v>52</v>
      </c>
      <c r="L770">
        <v>28</v>
      </c>
      <c r="M770" t="s">
        <v>27</v>
      </c>
      <c r="N770" t="s">
        <v>53</v>
      </c>
      <c r="O770">
        <v>3</v>
      </c>
      <c r="P770" t="s">
        <v>29</v>
      </c>
      <c r="Q770">
        <v>1</v>
      </c>
      <c r="R770" t="s">
        <v>30</v>
      </c>
      <c r="S770" t="s">
        <v>30</v>
      </c>
      <c r="T770" t="s">
        <v>31</v>
      </c>
    </row>
    <row r="771" spans="1:20" x14ac:dyDescent="0.35">
      <c r="A771" t="s">
        <v>829</v>
      </c>
      <c r="B771">
        <v>12</v>
      </c>
      <c r="C771" t="s">
        <v>21</v>
      </c>
      <c r="D771" t="s">
        <v>22</v>
      </c>
      <c r="E771">
        <v>182050</v>
      </c>
      <c r="F771" s="2" t="s">
        <v>1060</v>
      </c>
      <c r="G771" t="s">
        <v>24</v>
      </c>
      <c r="H771">
        <v>2</v>
      </c>
      <c r="I771" t="s">
        <v>25</v>
      </c>
      <c r="J771">
        <v>4</v>
      </c>
      <c r="K771" t="s">
        <v>26</v>
      </c>
      <c r="L771">
        <v>63</v>
      </c>
      <c r="M771" t="s">
        <v>27</v>
      </c>
      <c r="N771" t="s">
        <v>28</v>
      </c>
      <c r="O771">
        <v>2</v>
      </c>
      <c r="P771" t="s">
        <v>39</v>
      </c>
      <c r="Q771">
        <v>1</v>
      </c>
      <c r="R771" t="s">
        <v>30</v>
      </c>
      <c r="S771" t="s">
        <v>30</v>
      </c>
      <c r="T771" t="s">
        <v>31</v>
      </c>
    </row>
    <row r="772" spans="1:20" x14ac:dyDescent="0.35">
      <c r="A772" t="s">
        <v>830</v>
      </c>
      <c r="B772">
        <v>24</v>
      </c>
      <c r="C772" t="s">
        <v>33</v>
      </c>
      <c r="D772" t="s">
        <v>51</v>
      </c>
      <c r="E772">
        <v>309320</v>
      </c>
      <c r="F772" s="1" t="s">
        <v>23</v>
      </c>
      <c r="G772" t="s">
        <v>24</v>
      </c>
      <c r="H772">
        <v>2</v>
      </c>
      <c r="I772" t="s">
        <v>35</v>
      </c>
      <c r="J772">
        <v>4</v>
      </c>
      <c r="K772" t="s">
        <v>26</v>
      </c>
      <c r="L772">
        <v>26</v>
      </c>
      <c r="M772" t="s">
        <v>27</v>
      </c>
      <c r="N772" t="s">
        <v>53</v>
      </c>
      <c r="O772">
        <v>1</v>
      </c>
      <c r="P772" t="s">
        <v>29</v>
      </c>
      <c r="Q772">
        <v>1</v>
      </c>
      <c r="R772" t="s">
        <v>27</v>
      </c>
      <c r="S772" t="s">
        <v>30</v>
      </c>
      <c r="T772" t="s">
        <v>31</v>
      </c>
    </row>
    <row r="773" spans="1:20" x14ac:dyDescent="0.35">
      <c r="A773" t="s">
        <v>831</v>
      </c>
      <c r="B773">
        <v>36</v>
      </c>
      <c r="C773" t="s">
        <v>21</v>
      </c>
      <c r="D773" t="s">
        <v>37</v>
      </c>
      <c r="E773">
        <v>887150</v>
      </c>
      <c r="F773" s="2" t="s">
        <v>1060</v>
      </c>
      <c r="G773" t="s">
        <v>34</v>
      </c>
      <c r="H773">
        <v>3</v>
      </c>
      <c r="I773" t="s">
        <v>35</v>
      </c>
      <c r="J773">
        <v>2</v>
      </c>
      <c r="K773" t="s">
        <v>47</v>
      </c>
      <c r="L773">
        <v>25</v>
      </c>
      <c r="M773" t="s">
        <v>27</v>
      </c>
      <c r="N773" t="s">
        <v>28</v>
      </c>
      <c r="O773">
        <v>2</v>
      </c>
      <c r="P773" t="s">
        <v>54</v>
      </c>
      <c r="Q773">
        <v>1</v>
      </c>
      <c r="R773" t="s">
        <v>30</v>
      </c>
      <c r="S773" t="s">
        <v>30</v>
      </c>
      <c r="T773" t="s">
        <v>31</v>
      </c>
    </row>
    <row r="774" spans="1:20" x14ac:dyDescent="0.35">
      <c r="A774" t="s">
        <v>832</v>
      </c>
      <c r="B774">
        <v>21</v>
      </c>
      <c r="C774" t="s">
        <v>21</v>
      </c>
      <c r="D774" t="s">
        <v>51</v>
      </c>
      <c r="E774">
        <v>360250</v>
      </c>
      <c r="F774" s="1" t="s">
        <v>1060</v>
      </c>
      <c r="G774" t="s">
        <v>24</v>
      </c>
      <c r="H774">
        <v>1</v>
      </c>
      <c r="I774" t="s">
        <v>25</v>
      </c>
      <c r="J774">
        <v>4</v>
      </c>
      <c r="K774" t="s">
        <v>52</v>
      </c>
      <c r="L774">
        <v>36</v>
      </c>
      <c r="M774" t="s">
        <v>27</v>
      </c>
      <c r="N774" t="s">
        <v>28</v>
      </c>
      <c r="O774">
        <v>1</v>
      </c>
      <c r="P774" t="s">
        <v>54</v>
      </c>
      <c r="Q774">
        <v>1</v>
      </c>
      <c r="R774" t="s">
        <v>30</v>
      </c>
      <c r="S774" t="s">
        <v>30</v>
      </c>
      <c r="T774" t="s">
        <v>31</v>
      </c>
    </row>
    <row r="775" spans="1:20" x14ac:dyDescent="0.35">
      <c r="A775" t="s">
        <v>833</v>
      </c>
      <c r="B775">
        <v>24</v>
      </c>
      <c r="C775" t="s">
        <v>21</v>
      </c>
      <c r="D775" t="s">
        <v>22</v>
      </c>
      <c r="E775">
        <v>244530</v>
      </c>
      <c r="F775" s="2" t="s">
        <v>1063</v>
      </c>
      <c r="G775" t="s">
        <v>24</v>
      </c>
      <c r="H775">
        <v>4</v>
      </c>
      <c r="I775" t="s">
        <v>25</v>
      </c>
      <c r="J775">
        <v>4</v>
      </c>
      <c r="K775" t="s">
        <v>42</v>
      </c>
      <c r="L775">
        <v>52</v>
      </c>
      <c r="M775" t="s">
        <v>69</v>
      </c>
      <c r="N775" t="s">
        <v>28</v>
      </c>
      <c r="O775">
        <v>2</v>
      </c>
      <c r="P775" t="s">
        <v>29</v>
      </c>
      <c r="Q775">
        <v>1</v>
      </c>
      <c r="R775" t="s">
        <v>27</v>
      </c>
      <c r="S775" t="s">
        <v>30</v>
      </c>
      <c r="T775" t="s">
        <v>31</v>
      </c>
    </row>
    <row r="776" spans="1:20" x14ac:dyDescent="0.35">
      <c r="A776" t="s">
        <v>834</v>
      </c>
      <c r="B776">
        <v>12</v>
      </c>
      <c r="C776" t="s">
        <v>21</v>
      </c>
      <c r="D776" t="s">
        <v>46</v>
      </c>
      <c r="E776">
        <v>162800</v>
      </c>
      <c r="F776" s="1" t="s">
        <v>1061</v>
      </c>
      <c r="G776" t="s">
        <v>57</v>
      </c>
      <c r="H776">
        <v>2</v>
      </c>
      <c r="I776" t="s">
        <v>25</v>
      </c>
      <c r="J776">
        <v>4</v>
      </c>
      <c r="K776" t="s">
        <v>47</v>
      </c>
      <c r="L776">
        <v>66</v>
      </c>
      <c r="M776" t="s">
        <v>69</v>
      </c>
      <c r="N776" t="s">
        <v>43</v>
      </c>
      <c r="O776">
        <v>3</v>
      </c>
      <c r="P776" t="s">
        <v>105</v>
      </c>
      <c r="Q776">
        <v>1</v>
      </c>
      <c r="R776" t="s">
        <v>27</v>
      </c>
      <c r="S776" t="s">
        <v>30</v>
      </c>
      <c r="T776" t="s">
        <v>31</v>
      </c>
    </row>
    <row r="777" spans="1:20" x14ac:dyDescent="0.35">
      <c r="A777" t="s">
        <v>835</v>
      </c>
      <c r="B777">
        <v>24</v>
      </c>
      <c r="C777" t="s">
        <v>33</v>
      </c>
      <c r="D777" t="s">
        <v>46</v>
      </c>
      <c r="E777">
        <v>150810</v>
      </c>
      <c r="F777" s="2" t="s">
        <v>23</v>
      </c>
      <c r="G777" t="s">
        <v>34</v>
      </c>
      <c r="H777">
        <v>4</v>
      </c>
      <c r="I777" t="s">
        <v>35</v>
      </c>
      <c r="J777">
        <v>4</v>
      </c>
      <c r="K777" t="s">
        <v>26</v>
      </c>
      <c r="L777">
        <v>25</v>
      </c>
      <c r="M777" t="s">
        <v>27</v>
      </c>
      <c r="N777" t="s">
        <v>53</v>
      </c>
      <c r="O777">
        <v>1</v>
      </c>
      <c r="P777" t="s">
        <v>29</v>
      </c>
      <c r="Q777">
        <v>1</v>
      </c>
      <c r="R777" t="s">
        <v>27</v>
      </c>
      <c r="S777" t="s">
        <v>30</v>
      </c>
      <c r="T777" t="s">
        <v>31</v>
      </c>
    </row>
    <row r="778" spans="1:20" x14ac:dyDescent="0.35">
      <c r="A778" t="s">
        <v>836</v>
      </c>
      <c r="B778">
        <v>36</v>
      </c>
      <c r="C778" t="s">
        <v>21</v>
      </c>
      <c r="D778" t="s">
        <v>46</v>
      </c>
      <c r="E778">
        <v>388850</v>
      </c>
      <c r="F778" s="1" t="s">
        <v>1060</v>
      </c>
      <c r="G778" t="s">
        <v>38</v>
      </c>
      <c r="H778">
        <v>4</v>
      </c>
      <c r="I778" t="s">
        <v>25</v>
      </c>
      <c r="J778">
        <v>4</v>
      </c>
      <c r="K778" t="s">
        <v>52</v>
      </c>
      <c r="L778">
        <v>37</v>
      </c>
      <c r="M778" t="s">
        <v>27</v>
      </c>
      <c r="N778" t="s">
        <v>28</v>
      </c>
      <c r="O778">
        <v>2</v>
      </c>
      <c r="P778" t="s">
        <v>29</v>
      </c>
      <c r="Q778">
        <v>1</v>
      </c>
      <c r="R778" t="s">
        <v>30</v>
      </c>
      <c r="S778" t="s">
        <v>30</v>
      </c>
      <c r="T778" t="s">
        <v>31</v>
      </c>
    </row>
    <row r="779" spans="1:20" x14ac:dyDescent="0.35">
      <c r="A779" t="s">
        <v>837</v>
      </c>
      <c r="B779">
        <v>18</v>
      </c>
      <c r="C779" t="s">
        <v>33</v>
      </c>
      <c r="D779" t="s">
        <v>22</v>
      </c>
      <c r="E779">
        <v>385990</v>
      </c>
      <c r="F779" s="2" t="s">
        <v>1060</v>
      </c>
      <c r="G779" t="s">
        <v>38</v>
      </c>
      <c r="H779">
        <v>4</v>
      </c>
      <c r="I779" t="s">
        <v>35</v>
      </c>
      <c r="J779">
        <v>1</v>
      </c>
      <c r="K779" t="s">
        <v>26</v>
      </c>
      <c r="L779">
        <v>25</v>
      </c>
      <c r="M779" t="s">
        <v>27</v>
      </c>
      <c r="N779" t="s">
        <v>28</v>
      </c>
      <c r="O779">
        <v>1</v>
      </c>
      <c r="P779" t="s">
        <v>29</v>
      </c>
      <c r="Q779">
        <v>1</v>
      </c>
      <c r="R779" t="s">
        <v>27</v>
      </c>
      <c r="S779" t="s">
        <v>30</v>
      </c>
      <c r="T779" t="s">
        <v>31</v>
      </c>
    </row>
    <row r="780" spans="1:20" x14ac:dyDescent="0.35">
      <c r="A780" t="s">
        <v>838</v>
      </c>
      <c r="B780">
        <v>36</v>
      </c>
      <c r="C780" t="s">
        <v>21</v>
      </c>
      <c r="D780" t="s">
        <v>51</v>
      </c>
      <c r="E780">
        <v>628210</v>
      </c>
      <c r="F780" s="1" t="s">
        <v>1062</v>
      </c>
      <c r="G780" t="s">
        <v>24</v>
      </c>
      <c r="H780">
        <v>4</v>
      </c>
      <c r="I780" t="s">
        <v>25</v>
      </c>
      <c r="J780">
        <v>2</v>
      </c>
      <c r="K780" t="s">
        <v>52</v>
      </c>
      <c r="L780">
        <v>38</v>
      </c>
      <c r="M780" t="s">
        <v>27</v>
      </c>
      <c r="N780" t="s">
        <v>28</v>
      </c>
      <c r="O780">
        <v>2</v>
      </c>
      <c r="P780" t="s">
        <v>54</v>
      </c>
      <c r="Q780">
        <v>1</v>
      </c>
      <c r="R780" t="s">
        <v>30</v>
      </c>
      <c r="S780" t="s">
        <v>30</v>
      </c>
      <c r="T780" t="s">
        <v>31</v>
      </c>
    </row>
    <row r="781" spans="1:20" x14ac:dyDescent="0.35">
      <c r="A781" t="s">
        <v>839</v>
      </c>
      <c r="B781">
        <v>18</v>
      </c>
      <c r="C781" t="s">
        <v>33</v>
      </c>
      <c r="D781" t="s">
        <v>99</v>
      </c>
      <c r="E781">
        <v>425920</v>
      </c>
      <c r="F781" s="2" t="s">
        <v>1060</v>
      </c>
      <c r="G781" t="s">
        <v>57</v>
      </c>
      <c r="H781">
        <v>2</v>
      </c>
      <c r="I781" t="s">
        <v>35</v>
      </c>
      <c r="J781">
        <v>4</v>
      </c>
      <c r="K781" t="s">
        <v>52</v>
      </c>
      <c r="L781">
        <v>67</v>
      </c>
      <c r="M781" t="s">
        <v>27</v>
      </c>
      <c r="N781" t="s">
        <v>28</v>
      </c>
      <c r="O781">
        <v>1</v>
      </c>
      <c r="P781" t="s">
        <v>29</v>
      </c>
      <c r="Q781">
        <v>1</v>
      </c>
      <c r="R781" t="s">
        <v>30</v>
      </c>
      <c r="S781" t="s">
        <v>30</v>
      </c>
      <c r="T781" t="s">
        <v>31</v>
      </c>
    </row>
    <row r="782" spans="1:20" x14ac:dyDescent="0.35">
      <c r="A782" t="s">
        <v>840</v>
      </c>
      <c r="B782">
        <v>39</v>
      </c>
      <c r="C782" t="s">
        <v>21</v>
      </c>
      <c r="D782" t="s">
        <v>22</v>
      </c>
      <c r="E782">
        <v>542630</v>
      </c>
      <c r="F782" s="1" t="s">
        <v>1060</v>
      </c>
      <c r="G782" t="s">
        <v>38</v>
      </c>
      <c r="H782">
        <v>2</v>
      </c>
      <c r="I782" t="s">
        <v>25</v>
      </c>
      <c r="J782">
        <v>2</v>
      </c>
      <c r="K782" t="s">
        <v>26</v>
      </c>
      <c r="L782">
        <v>25</v>
      </c>
      <c r="M782" t="s">
        <v>27</v>
      </c>
      <c r="N782" t="s">
        <v>28</v>
      </c>
      <c r="O782">
        <v>2</v>
      </c>
      <c r="P782" t="s">
        <v>29</v>
      </c>
      <c r="Q782">
        <v>1</v>
      </c>
      <c r="R782" t="s">
        <v>27</v>
      </c>
      <c r="S782" t="s">
        <v>30</v>
      </c>
      <c r="T782" t="s">
        <v>31</v>
      </c>
    </row>
    <row r="783" spans="1:20" x14ac:dyDescent="0.35">
      <c r="A783" t="s">
        <v>841</v>
      </c>
      <c r="B783">
        <v>24</v>
      </c>
      <c r="C783" t="s">
        <v>21</v>
      </c>
      <c r="D783" t="s">
        <v>46</v>
      </c>
      <c r="E783">
        <v>213400</v>
      </c>
      <c r="F783" s="2" t="s">
        <v>1062</v>
      </c>
      <c r="G783" t="s">
        <v>24</v>
      </c>
      <c r="H783">
        <v>4</v>
      </c>
      <c r="I783" t="s">
        <v>25</v>
      </c>
      <c r="J783">
        <v>4</v>
      </c>
      <c r="K783" t="s">
        <v>26</v>
      </c>
      <c r="L783">
        <v>60</v>
      </c>
      <c r="M783" t="s">
        <v>27</v>
      </c>
      <c r="N783" t="s">
        <v>28</v>
      </c>
      <c r="O783">
        <v>1</v>
      </c>
      <c r="P783" t="s">
        <v>29</v>
      </c>
      <c r="Q783">
        <v>1</v>
      </c>
      <c r="R783" t="s">
        <v>30</v>
      </c>
      <c r="S783" t="s">
        <v>30</v>
      </c>
      <c r="T783" t="s">
        <v>31</v>
      </c>
    </row>
    <row r="784" spans="1:20" x14ac:dyDescent="0.35">
      <c r="A784" t="s">
        <v>842</v>
      </c>
      <c r="B784">
        <v>12</v>
      </c>
      <c r="C784" t="s">
        <v>68</v>
      </c>
      <c r="D784" t="s">
        <v>217</v>
      </c>
      <c r="E784">
        <v>155100</v>
      </c>
      <c r="F784" s="1" t="s">
        <v>1060</v>
      </c>
      <c r="G784" t="s">
        <v>34</v>
      </c>
      <c r="H784">
        <v>2</v>
      </c>
      <c r="I784" t="s">
        <v>25</v>
      </c>
      <c r="J784">
        <v>2</v>
      </c>
      <c r="K784" t="s">
        <v>26</v>
      </c>
      <c r="L784">
        <v>31</v>
      </c>
      <c r="M784" t="s">
        <v>27</v>
      </c>
      <c r="N784" t="s">
        <v>28</v>
      </c>
      <c r="O784">
        <v>1</v>
      </c>
      <c r="P784" t="s">
        <v>39</v>
      </c>
      <c r="Q784">
        <v>1</v>
      </c>
      <c r="R784" t="s">
        <v>30</v>
      </c>
      <c r="S784" t="s">
        <v>30</v>
      </c>
      <c r="T784" t="s">
        <v>31</v>
      </c>
    </row>
    <row r="785" spans="1:20" x14ac:dyDescent="0.35">
      <c r="A785" t="s">
        <v>843</v>
      </c>
      <c r="B785">
        <v>12</v>
      </c>
      <c r="C785" t="s">
        <v>33</v>
      </c>
      <c r="D785" t="s">
        <v>46</v>
      </c>
      <c r="E785">
        <v>91960</v>
      </c>
      <c r="F785" s="2" t="s">
        <v>1063</v>
      </c>
      <c r="G785" t="s">
        <v>59</v>
      </c>
      <c r="H785">
        <v>4</v>
      </c>
      <c r="I785" t="s">
        <v>35</v>
      </c>
      <c r="J785">
        <v>2</v>
      </c>
      <c r="K785" t="s">
        <v>42</v>
      </c>
      <c r="L785">
        <v>23</v>
      </c>
      <c r="M785" t="s">
        <v>69</v>
      </c>
      <c r="N785" t="s">
        <v>28</v>
      </c>
      <c r="O785">
        <v>1</v>
      </c>
      <c r="P785" t="s">
        <v>39</v>
      </c>
      <c r="Q785">
        <v>1</v>
      </c>
      <c r="R785" t="s">
        <v>27</v>
      </c>
      <c r="S785" t="s">
        <v>30</v>
      </c>
      <c r="T785" t="s">
        <v>31</v>
      </c>
    </row>
    <row r="786" spans="1:20" x14ac:dyDescent="0.35">
      <c r="A786" t="s">
        <v>844</v>
      </c>
      <c r="B786">
        <v>20</v>
      </c>
      <c r="C786" t="s">
        <v>33</v>
      </c>
      <c r="D786" t="s">
        <v>51</v>
      </c>
      <c r="E786">
        <v>711480</v>
      </c>
      <c r="F786" s="1" t="s">
        <v>23</v>
      </c>
      <c r="G786" t="s">
        <v>57</v>
      </c>
      <c r="H786">
        <v>1</v>
      </c>
      <c r="I786" t="s">
        <v>25</v>
      </c>
      <c r="J786">
        <v>4</v>
      </c>
      <c r="K786" t="s">
        <v>26</v>
      </c>
      <c r="L786">
        <v>60</v>
      </c>
      <c r="M786" t="s">
        <v>27</v>
      </c>
      <c r="N786" t="s">
        <v>28</v>
      </c>
      <c r="O786">
        <v>1</v>
      </c>
      <c r="P786" t="s">
        <v>54</v>
      </c>
      <c r="Q786">
        <v>1</v>
      </c>
      <c r="R786" t="s">
        <v>30</v>
      </c>
      <c r="S786" t="s">
        <v>30</v>
      </c>
      <c r="T786" t="s">
        <v>31</v>
      </c>
    </row>
    <row r="787" spans="1:20" x14ac:dyDescent="0.35">
      <c r="A787" t="s">
        <v>845</v>
      </c>
      <c r="B787">
        <v>18</v>
      </c>
      <c r="C787" t="s">
        <v>33</v>
      </c>
      <c r="D787" t="s">
        <v>61</v>
      </c>
      <c r="E787">
        <v>213510</v>
      </c>
      <c r="F787" s="2" t="s">
        <v>1062</v>
      </c>
      <c r="G787" t="s">
        <v>34</v>
      </c>
      <c r="H787">
        <v>4</v>
      </c>
      <c r="I787" t="s">
        <v>25</v>
      </c>
      <c r="J787">
        <v>2</v>
      </c>
      <c r="K787" t="s">
        <v>42</v>
      </c>
      <c r="L787">
        <v>35</v>
      </c>
      <c r="M787" t="s">
        <v>27</v>
      </c>
      <c r="N787" t="s">
        <v>28</v>
      </c>
      <c r="O787">
        <v>1</v>
      </c>
      <c r="P787" t="s">
        <v>39</v>
      </c>
      <c r="Q787">
        <v>1</v>
      </c>
      <c r="R787" t="s">
        <v>30</v>
      </c>
      <c r="S787" t="s">
        <v>30</v>
      </c>
      <c r="T787" t="s">
        <v>31</v>
      </c>
    </row>
    <row r="788" spans="1:20" x14ac:dyDescent="0.35">
      <c r="A788" t="s">
        <v>846</v>
      </c>
      <c r="B788">
        <v>22</v>
      </c>
      <c r="C788" t="s">
        <v>33</v>
      </c>
      <c r="D788" t="s">
        <v>22</v>
      </c>
      <c r="E788">
        <v>294250</v>
      </c>
      <c r="F788" s="1" t="s">
        <v>1061</v>
      </c>
      <c r="G788" t="s">
        <v>24</v>
      </c>
      <c r="H788">
        <v>3</v>
      </c>
      <c r="I788" t="s">
        <v>25</v>
      </c>
      <c r="J788">
        <v>4</v>
      </c>
      <c r="K788" t="s">
        <v>52</v>
      </c>
      <c r="L788">
        <v>40</v>
      </c>
      <c r="M788" t="s">
        <v>27</v>
      </c>
      <c r="N788" t="s">
        <v>28</v>
      </c>
      <c r="O788">
        <v>1</v>
      </c>
      <c r="P788" t="s">
        <v>29</v>
      </c>
      <c r="Q788">
        <v>1</v>
      </c>
      <c r="R788" t="s">
        <v>27</v>
      </c>
      <c r="S788" t="s">
        <v>30</v>
      </c>
      <c r="T788" t="s">
        <v>31</v>
      </c>
    </row>
    <row r="789" spans="1:20" x14ac:dyDescent="0.35">
      <c r="A789" t="s">
        <v>847</v>
      </c>
      <c r="B789">
        <v>48</v>
      </c>
      <c r="C789" t="s">
        <v>21</v>
      </c>
      <c r="D789" t="s">
        <v>51</v>
      </c>
      <c r="E789">
        <v>302610</v>
      </c>
      <c r="F789" s="2" t="s">
        <v>23</v>
      </c>
      <c r="G789" t="s">
        <v>24</v>
      </c>
      <c r="H789">
        <v>4</v>
      </c>
      <c r="I789" t="s">
        <v>25</v>
      </c>
      <c r="J789">
        <v>3</v>
      </c>
      <c r="K789" t="s">
        <v>52</v>
      </c>
      <c r="L789">
        <v>38</v>
      </c>
      <c r="M789" t="s">
        <v>27</v>
      </c>
      <c r="N789" t="s">
        <v>28</v>
      </c>
      <c r="O789">
        <v>2</v>
      </c>
      <c r="P789" t="s">
        <v>29</v>
      </c>
      <c r="Q789">
        <v>2</v>
      </c>
      <c r="R789" t="s">
        <v>30</v>
      </c>
      <c r="S789" t="s">
        <v>30</v>
      </c>
      <c r="T789" t="s">
        <v>31</v>
      </c>
    </row>
    <row r="790" spans="1:20" x14ac:dyDescent="0.35">
      <c r="A790" t="s">
        <v>848</v>
      </c>
      <c r="B790">
        <v>48</v>
      </c>
      <c r="C790" t="s">
        <v>45</v>
      </c>
      <c r="D790" t="s">
        <v>37</v>
      </c>
      <c r="E790">
        <v>684640</v>
      </c>
      <c r="F790" s="1" t="s">
        <v>1060</v>
      </c>
      <c r="G790" t="s">
        <v>24</v>
      </c>
      <c r="H790">
        <v>4</v>
      </c>
      <c r="I790" t="s">
        <v>25</v>
      </c>
      <c r="J790">
        <v>4</v>
      </c>
      <c r="K790" t="s">
        <v>47</v>
      </c>
      <c r="L790">
        <v>50</v>
      </c>
      <c r="M790" t="s">
        <v>27</v>
      </c>
      <c r="N790" t="s">
        <v>43</v>
      </c>
      <c r="O790">
        <v>1</v>
      </c>
      <c r="P790" t="s">
        <v>29</v>
      </c>
      <c r="Q790">
        <v>1</v>
      </c>
      <c r="R790" t="s">
        <v>27</v>
      </c>
      <c r="S790" t="s">
        <v>30</v>
      </c>
      <c r="T790" t="s">
        <v>31</v>
      </c>
    </row>
    <row r="791" spans="1:20" x14ac:dyDescent="0.35">
      <c r="A791" t="s">
        <v>849</v>
      </c>
      <c r="B791">
        <v>40</v>
      </c>
      <c r="C791" t="s">
        <v>21</v>
      </c>
      <c r="D791" t="s">
        <v>37</v>
      </c>
      <c r="E791">
        <v>659780</v>
      </c>
      <c r="F791" s="2" t="s">
        <v>1060</v>
      </c>
      <c r="G791" t="s">
        <v>34</v>
      </c>
      <c r="H791">
        <v>4</v>
      </c>
      <c r="I791" t="s">
        <v>25</v>
      </c>
      <c r="J791">
        <v>3</v>
      </c>
      <c r="K791" t="s">
        <v>47</v>
      </c>
      <c r="L791">
        <v>27</v>
      </c>
      <c r="M791" t="s">
        <v>69</v>
      </c>
      <c r="N791" t="s">
        <v>28</v>
      </c>
      <c r="O791">
        <v>1</v>
      </c>
      <c r="P791" t="s">
        <v>29</v>
      </c>
      <c r="Q791">
        <v>1</v>
      </c>
      <c r="R791" t="s">
        <v>30</v>
      </c>
      <c r="S791" t="s">
        <v>30</v>
      </c>
      <c r="T791" t="s">
        <v>31</v>
      </c>
    </row>
    <row r="792" spans="1:20" x14ac:dyDescent="0.35">
      <c r="A792" t="s">
        <v>850</v>
      </c>
      <c r="B792">
        <v>21</v>
      </c>
      <c r="C792" t="s">
        <v>33</v>
      </c>
      <c r="D792" t="s">
        <v>61</v>
      </c>
      <c r="E792">
        <v>130680</v>
      </c>
      <c r="F792" s="1" t="s">
        <v>1060</v>
      </c>
      <c r="G792" t="s">
        <v>24</v>
      </c>
      <c r="H792">
        <v>2</v>
      </c>
      <c r="I792" t="s">
        <v>35</v>
      </c>
      <c r="J792">
        <v>4</v>
      </c>
      <c r="K792" t="s">
        <v>42</v>
      </c>
      <c r="L792">
        <v>39</v>
      </c>
      <c r="M792" t="s">
        <v>27</v>
      </c>
      <c r="N792" t="s">
        <v>28</v>
      </c>
      <c r="O792">
        <v>1</v>
      </c>
      <c r="P792" t="s">
        <v>29</v>
      </c>
      <c r="Q792">
        <v>2</v>
      </c>
      <c r="R792" t="s">
        <v>27</v>
      </c>
      <c r="S792" t="s">
        <v>30</v>
      </c>
      <c r="T792" t="s">
        <v>31</v>
      </c>
    </row>
    <row r="793" spans="1:20" x14ac:dyDescent="0.35">
      <c r="A793" t="s">
        <v>851</v>
      </c>
      <c r="B793">
        <v>24</v>
      </c>
      <c r="C793" t="s">
        <v>33</v>
      </c>
      <c r="D793" t="s">
        <v>51</v>
      </c>
      <c r="E793">
        <v>694430</v>
      </c>
      <c r="F793" s="2" t="s">
        <v>23</v>
      </c>
      <c r="G793" t="s">
        <v>24</v>
      </c>
      <c r="H793">
        <v>3</v>
      </c>
      <c r="I793" t="s">
        <v>25</v>
      </c>
      <c r="J793">
        <v>4</v>
      </c>
      <c r="K793" t="s">
        <v>52</v>
      </c>
      <c r="L793">
        <v>41</v>
      </c>
      <c r="M793" t="s">
        <v>27</v>
      </c>
      <c r="N793" t="s">
        <v>28</v>
      </c>
      <c r="O793">
        <v>1</v>
      </c>
      <c r="P793" t="s">
        <v>54</v>
      </c>
      <c r="Q793">
        <v>2</v>
      </c>
      <c r="R793" t="s">
        <v>30</v>
      </c>
      <c r="S793" t="s">
        <v>30</v>
      </c>
      <c r="T793" t="s">
        <v>31</v>
      </c>
    </row>
    <row r="794" spans="1:20" x14ac:dyDescent="0.35">
      <c r="A794" t="s">
        <v>852</v>
      </c>
      <c r="B794">
        <v>6</v>
      </c>
      <c r="C794" t="s">
        <v>21</v>
      </c>
      <c r="D794" t="s">
        <v>41</v>
      </c>
      <c r="E794">
        <v>134310</v>
      </c>
      <c r="F794" s="1" t="s">
        <v>23</v>
      </c>
      <c r="G794" t="s">
        <v>34</v>
      </c>
      <c r="H794">
        <v>1</v>
      </c>
      <c r="I794" t="s">
        <v>25</v>
      </c>
      <c r="J794">
        <v>2</v>
      </c>
      <c r="K794" t="s">
        <v>42</v>
      </c>
      <c r="L794">
        <v>27</v>
      </c>
      <c r="M794" t="s">
        <v>27</v>
      </c>
      <c r="N794" t="s">
        <v>28</v>
      </c>
      <c r="O794">
        <v>2</v>
      </c>
      <c r="P794" t="s">
        <v>29</v>
      </c>
      <c r="Q794">
        <v>1</v>
      </c>
      <c r="R794" t="s">
        <v>27</v>
      </c>
      <c r="S794" t="s">
        <v>30</v>
      </c>
      <c r="T794" t="s">
        <v>31</v>
      </c>
    </row>
    <row r="795" spans="1:20" x14ac:dyDescent="0.35">
      <c r="A795" t="s">
        <v>853</v>
      </c>
      <c r="B795">
        <v>24</v>
      </c>
      <c r="C795" t="s">
        <v>33</v>
      </c>
      <c r="D795" t="s">
        <v>41</v>
      </c>
      <c r="E795">
        <v>318120</v>
      </c>
      <c r="F795" s="2" t="s">
        <v>1060</v>
      </c>
      <c r="G795" t="s">
        <v>24</v>
      </c>
      <c r="H795">
        <v>3</v>
      </c>
      <c r="I795" t="s">
        <v>25</v>
      </c>
      <c r="J795">
        <v>4</v>
      </c>
      <c r="K795" t="s">
        <v>47</v>
      </c>
      <c r="L795">
        <v>51</v>
      </c>
      <c r="M795" t="s">
        <v>27</v>
      </c>
      <c r="N795" t="s">
        <v>43</v>
      </c>
      <c r="O795">
        <v>1</v>
      </c>
      <c r="P795" t="s">
        <v>29</v>
      </c>
      <c r="Q795">
        <v>1</v>
      </c>
      <c r="R795" t="s">
        <v>27</v>
      </c>
      <c r="S795" t="s">
        <v>30</v>
      </c>
      <c r="T795" t="s">
        <v>31</v>
      </c>
    </row>
    <row r="796" spans="1:20" x14ac:dyDescent="0.35">
      <c r="A796" t="s">
        <v>854</v>
      </c>
      <c r="B796">
        <v>24</v>
      </c>
      <c r="C796" t="s">
        <v>33</v>
      </c>
      <c r="D796" t="s">
        <v>41</v>
      </c>
      <c r="E796">
        <v>336820</v>
      </c>
      <c r="F796" s="1" t="s">
        <v>1061</v>
      </c>
      <c r="G796" t="s">
        <v>24</v>
      </c>
      <c r="H796">
        <v>4</v>
      </c>
      <c r="I796" t="s">
        <v>25</v>
      </c>
      <c r="J796">
        <v>3</v>
      </c>
      <c r="K796" t="s">
        <v>47</v>
      </c>
      <c r="L796">
        <v>32</v>
      </c>
      <c r="M796" t="s">
        <v>27</v>
      </c>
      <c r="N796" t="s">
        <v>53</v>
      </c>
      <c r="O796">
        <v>1</v>
      </c>
      <c r="P796" t="s">
        <v>29</v>
      </c>
      <c r="Q796">
        <v>1</v>
      </c>
      <c r="R796" t="s">
        <v>30</v>
      </c>
      <c r="S796" t="s">
        <v>30</v>
      </c>
      <c r="T796" t="s">
        <v>31</v>
      </c>
    </row>
    <row r="797" spans="1:20" x14ac:dyDescent="0.35">
      <c r="A797" t="s">
        <v>855</v>
      </c>
      <c r="B797">
        <v>9</v>
      </c>
      <c r="C797" t="s">
        <v>33</v>
      </c>
      <c r="D797" t="s">
        <v>41</v>
      </c>
      <c r="E797">
        <v>253110</v>
      </c>
      <c r="F797" s="2" t="s">
        <v>1063</v>
      </c>
      <c r="G797" t="s">
        <v>59</v>
      </c>
      <c r="H797">
        <v>2</v>
      </c>
      <c r="I797" t="s">
        <v>35</v>
      </c>
      <c r="J797">
        <v>4</v>
      </c>
      <c r="K797" t="s">
        <v>42</v>
      </c>
      <c r="L797">
        <v>22</v>
      </c>
      <c r="M797" t="s">
        <v>27</v>
      </c>
      <c r="N797" t="s">
        <v>53</v>
      </c>
      <c r="O797">
        <v>1</v>
      </c>
      <c r="P797" t="s">
        <v>29</v>
      </c>
      <c r="Q797">
        <v>1</v>
      </c>
      <c r="R797" t="s">
        <v>27</v>
      </c>
      <c r="S797" t="s">
        <v>30</v>
      </c>
      <c r="T797" t="s">
        <v>31</v>
      </c>
    </row>
    <row r="798" spans="1:20" x14ac:dyDescent="0.35">
      <c r="A798" t="s">
        <v>856</v>
      </c>
      <c r="B798">
        <v>18</v>
      </c>
      <c r="C798" t="s">
        <v>33</v>
      </c>
      <c r="D798" t="s">
        <v>51</v>
      </c>
      <c r="E798">
        <v>826210</v>
      </c>
      <c r="F798" s="1" t="s">
        <v>23</v>
      </c>
      <c r="G798" t="s">
        <v>24</v>
      </c>
      <c r="H798">
        <v>1</v>
      </c>
      <c r="I798" t="s">
        <v>25</v>
      </c>
      <c r="J798">
        <v>4</v>
      </c>
      <c r="K798" t="s">
        <v>42</v>
      </c>
      <c r="L798">
        <v>51</v>
      </c>
      <c r="M798" t="s">
        <v>27</v>
      </c>
      <c r="N798" t="s">
        <v>43</v>
      </c>
      <c r="O798">
        <v>1</v>
      </c>
      <c r="P798" t="s">
        <v>29</v>
      </c>
      <c r="Q798">
        <v>2</v>
      </c>
      <c r="R798" t="s">
        <v>30</v>
      </c>
      <c r="S798" t="s">
        <v>30</v>
      </c>
      <c r="T798" t="s">
        <v>31</v>
      </c>
    </row>
    <row r="799" spans="1:20" x14ac:dyDescent="0.35">
      <c r="A799" t="s">
        <v>857</v>
      </c>
      <c r="B799">
        <v>12</v>
      </c>
      <c r="C799" t="s">
        <v>21</v>
      </c>
      <c r="D799" t="s">
        <v>41</v>
      </c>
      <c r="E799">
        <v>138380</v>
      </c>
      <c r="F799" s="2" t="s">
        <v>1060</v>
      </c>
      <c r="G799" t="s">
        <v>59</v>
      </c>
      <c r="H799">
        <v>2</v>
      </c>
      <c r="I799" t="s">
        <v>35</v>
      </c>
      <c r="J799">
        <v>4</v>
      </c>
      <c r="K799" t="s">
        <v>42</v>
      </c>
      <c r="L799">
        <v>22</v>
      </c>
      <c r="M799" t="s">
        <v>27</v>
      </c>
      <c r="N799" t="s">
        <v>53</v>
      </c>
      <c r="O799">
        <v>2</v>
      </c>
      <c r="P799" t="s">
        <v>39</v>
      </c>
      <c r="Q799">
        <v>1</v>
      </c>
      <c r="R799" t="s">
        <v>27</v>
      </c>
      <c r="S799" t="s">
        <v>30</v>
      </c>
      <c r="T799" t="s">
        <v>31</v>
      </c>
    </row>
    <row r="800" spans="1:20" x14ac:dyDescent="0.35">
      <c r="A800" t="s">
        <v>858</v>
      </c>
      <c r="B800">
        <v>24</v>
      </c>
      <c r="C800" t="s">
        <v>45</v>
      </c>
      <c r="D800" t="s">
        <v>46</v>
      </c>
      <c r="E800">
        <v>78870</v>
      </c>
      <c r="F800" s="1" t="s">
        <v>23</v>
      </c>
      <c r="G800" t="s">
        <v>24</v>
      </c>
      <c r="H800">
        <v>4</v>
      </c>
      <c r="I800" t="s">
        <v>25</v>
      </c>
      <c r="J800">
        <v>4</v>
      </c>
      <c r="K800" t="s">
        <v>52</v>
      </c>
      <c r="L800">
        <v>54</v>
      </c>
      <c r="M800" t="s">
        <v>27</v>
      </c>
      <c r="N800" t="s">
        <v>28</v>
      </c>
      <c r="O800">
        <v>2</v>
      </c>
      <c r="P800" t="s">
        <v>29</v>
      </c>
      <c r="Q800">
        <v>1</v>
      </c>
      <c r="R800" t="s">
        <v>30</v>
      </c>
      <c r="S800" t="s">
        <v>30</v>
      </c>
      <c r="T800" t="s">
        <v>31</v>
      </c>
    </row>
    <row r="801" spans="1:20" x14ac:dyDescent="0.35">
      <c r="A801" t="s">
        <v>859</v>
      </c>
      <c r="B801">
        <v>9</v>
      </c>
      <c r="C801" t="s">
        <v>33</v>
      </c>
      <c r="D801" t="s">
        <v>46</v>
      </c>
      <c r="E801">
        <v>170390</v>
      </c>
      <c r="F801" s="2" t="s">
        <v>23</v>
      </c>
      <c r="G801" t="s">
        <v>59</v>
      </c>
      <c r="H801">
        <v>4</v>
      </c>
      <c r="I801" t="s">
        <v>25</v>
      </c>
      <c r="J801">
        <v>2</v>
      </c>
      <c r="K801" t="s">
        <v>26</v>
      </c>
      <c r="L801">
        <v>35</v>
      </c>
      <c r="M801" t="s">
        <v>27</v>
      </c>
      <c r="N801" t="s">
        <v>28</v>
      </c>
      <c r="O801">
        <v>1</v>
      </c>
      <c r="P801" t="s">
        <v>105</v>
      </c>
      <c r="Q801">
        <v>1</v>
      </c>
      <c r="R801" t="s">
        <v>27</v>
      </c>
      <c r="S801" t="s">
        <v>30</v>
      </c>
      <c r="T801" t="s">
        <v>31</v>
      </c>
    </row>
    <row r="802" spans="1:20" x14ac:dyDescent="0.35">
      <c r="A802" t="s">
        <v>860</v>
      </c>
      <c r="B802">
        <v>24</v>
      </c>
      <c r="C802" t="s">
        <v>21</v>
      </c>
      <c r="D802" t="s">
        <v>37</v>
      </c>
      <c r="E802">
        <v>175670</v>
      </c>
      <c r="F802" s="1" t="s">
        <v>1060</v>
      </c>
      <c r="G802" t="s">
        <v>24</v>
      </c>
      <c r="H802">
        <v>4</v>
      </c>
      <c r="I802" t="s">
        <v>25</v>
      </c>
      <c r="J802">
        <v>4</v>
      </c>
      <c r="K802" t="s">
        <v>47</v>
      </c>
      <c r="L802">
        <v>54</v>
      </c>
      <c r="M802" t="s">
        <v>27</v>
      </c>
      <c r="N802" t="s">
        <v>43</v>
      </c>
      <c r="O802">
        <v>2</v>
      </c>
      <c r="P802" t="s">
        <v>29</v>
      </c>
      <c r="Q802">
        <v>2</v>
      </c>
      <c r="R802" t="s">
        <v>27</v>
      </c>
      <c r="S802" t="s">
        <v>30</v>
      </c>
      <c r="T802" t="s">
        <v>31</v>
      </c>
    </row>
    <row r="803" spans="1:20" x14ac:dyDescent="0.35">
      <c r="A803" t="s">
        <v>861</v>
      </c>
      <c r="B803">
        <v>18</v>
      </c>
      <c r="C803" t="s">
        <v>21</v>
      </c>
      <c r="D803" t="s">
        <v>22</v>
      </c>
      <c r="E803">
        <v>197450</v>
      </c>
      <c r="F803" s="2" t="s">
        <v>1060</v>
      </c>
      <c r="G803" t="s">
        <v>24</v>
      </c>
      <c r="H803">
        <v>3</v>
      </c>
      <c r="I803" t="s">
        <v>35</v>
      </c>
      <c r="J803">
        <v>4</v>
      </c>
      <c r="K803" t="s">
        <v>26</v>
      </c>
      <c r="L803">
        <v>48</v>
      </c>
      <c r="M803" t="s">
        <v>69</v>
      </c>
      <c r="N803" t="s">
        <v>53</v>
      </c>
      <c r="O803">
        <v>2</v>
      </c>
      <c r="P803" t="s">
        <v>39</v>
      </c>
      <c r="Q803">
        <v>1</v>
      </c>
      <c r="R803" t="s">
        <v>30</v>
      </c>
      <c r="S803" t="s">
        <v>30</v>
      </c>
      <c r="T803" t="s">
        <v>31</v>
      </c>
    </row>
    <row r="804" spans="1:20" x14ac:dyDescent="0.35">
      <c r="A804" t="s">
        <v>862</v>
      </c>
      <c r="B804">
        <v>20</v>
      </c>
      <c r="C804" t="s">
        <v>21</v>
      </c>
      <c r="D804" t="s">
        <v>41</v>
      </c>
      <c r="E804">
        <v>469920</v>
      </c>
      <c r="F804" s="1" t="s">
        <v>1060</v>
      </c>
      <c r="G804" t="s">
        <v>24</v>
      </c>
      <c r="H804">
        <v>1</v>
      </c>
      <c r="I804" t="s">
        <v>35</v>
      </c>
      <c r="J804">
        <v>4</v>
      </c>
      <c r="K804" t="s">
        <v>42</v>
      </c>
      <c r="L804">
        <v>24</v>
      </c>
      <c r="M804" t="s">
        <v>27</v>
      </c>
      <c r="N804" t="s">
        <v>28</v>
      </c>
      <c r="O804">
        <v>2</v>
      </c>
      <c r="P804" t="s">
        <v>29</v>
      </c>
      <c r="Q804">
        <v>1</v>
      </c>
      <c r="R804" t="s">
        <v>27</v>
      </c>
      <c r="S804" t="s">
        <v>30</v>
      </c>
      <c r="T804" t="s">
        <v>31</v>
      </c>
    </row>
    <row r="805" spans="1:20" x14ac:dyDescent="0.35">
      <c r="A805" t="s">
        <v>863</v>
      </c>
      <c r="B805">
        <v>12</v>
      </c>
      <c r="C805" t="s">
        <v>21</v>
      </c>
      <c r="D805" t="s">
        <v>22</v>
      </c>
      <c r="E805">
        <v>107360</v>
      </c>
      <c r="F805" s="2" t="s">
        <v>23</v>
      </c>
      <c r="G805" t="s">
        <v>24</v>
      </c>
      <c r="H805">
        <v>4</v>
      </c>
      <c r="I805" t="s">
        <v>25</v>
      </c>
      <c r="J805">
        <v>4</v>
      </c>
      <c r="K805" t="s">
        <v>52</v>
      </c>
      <c r="L805">
        <v>35</v>
      </c>
      <c r="M805" t="s">
        <v>27</v>
      </c>
      <c r="N805" t="s">
        <v>28</v>
      </c>
      <c r="O805">
        <v>2</v>
      </c>
      <c r="P805" t="s">
        <v>29</v>
      </c>
      <c r="Q805">
        <v>1</v>
      </c>
      <c r="R805" t="s">
        <v>27</v>
      </c>
      <c r="S805" t="s">
        <v>30</v>
      </c>
      <c r="T805" t="s">
        <v>31</v>
      </c>
    </row>
    <row r="806" spans="1:20" x14ac:dyDescent="0.35">
      <c r="A806" t="s">
        <v>864</v>
      </c>
      <c r="B806">
        <v>12</v>
      </c>
      <c r="C806" t="s">
        <v>33</v>
      </c>
      <c r="D806" t="s">
        <v>46</v>
      </c>
      <c r="E806">
        <v>821920</v>
      </c>
      <c r="F806" s="1" t="s">
        <v>23</v>
      </c>
      <c r="G806" t="s">
        <v>57</v>
      </c>
      <c r="H806">
        <v>1</v>
      </c>
      <c r="I806" t="s">
        <v>35</v>
      </c>
      <c r="J806">
        <v>2</v>
      </c>
      <c r="K806" t="s">
        <v>26</v>
      </c>
      <c r="L806">
        <v>24</v>
      </c>
      <c r="M806" t="s">
        <v>27</v>
      </c>
      <c r="N806" t="s">
        <v>53</v>
      </c>
      <c r="O806">
        <v>1</v>
      </c>
      <c r="P806" t="s">
        <v>105</v>
      </c>
      <c r="Q806">
        <v>1</v>
      </c>
      <c r="R806" t="s">
        <v>27</v>
      </c>
      <c r="S806" t="s">
        <v>30</v>
      </c>
      <c r="T806" t="s">
        <v>31</v>
      </c>
    </row>
    <row r="807" spans="1:20" x14ac:dyDescent="0.35">
      <c r="A807" t="s">
        <v>865</v>
      </c>
      <c r="B807">
        <v>36</v>
      </c>
      <c r="C807" t="s">
        <v>33</v>
      </c>
      <c r="D807" t="s">
        <v>46</v>
      </c>
      <c r="E807">
        <v>1019810</v>
      </c>
      <c r="F807" s="2" t="s">
        <v>1060</v>
      </c>
      <c r="G807" t="s">
        <v>38</v>
      </c>
      <c r="H807">
        <v>2</v>
      </c>
      <c r="I807" t="s">
        <v>25</v>
      </c>
      <c r="J807">
        <v>1</v>
      </c>
      <c r="K807" t="s">
        <v>52</v>
      </c>
      <c r="L807">
        <v>24</v>
      </c>
      <c r="M807" t="s">
        <v>27</v>
      </c>
      <c r="N807" t="s">
        <v>28</v>
      </c>
      <c r="O807">
        <v>1</v>
      </c>
      <c r="P807" t="s">
        <v>29</v>
      </c>
      <c r="Q807">
        <v>1</v>
      </c>
      <c r="R807" t="s">
        <v>30</v>
      </c>
      <c r="S807" t="s">
        <v>30</v>
      </c>
      <c r="T807" t="s">
        <v>31</v>
      </c>
    </row>
    <row r="808" spans="1:20" x14ac:dyDescent="0.35">
      <c r="A808" t="s">
        <v>866</v>
      </c>
      <c r="B808">
        <v>6</v>
      </c>
      <c r="C808" t="s">
        <v>33</v>
      </c>
      <c r="D808" t="s">
        <v>22</v>
      </c>
      <c r="E808">
        <v>64900</v>
      </c>
      <c r="F808" s="1" t="s">
        <v>1060</v>
      </c>
      <c r="G808" t="s">
        <v>59</v>
      </c>
      <c r="H808">
        <v>3</v>
      </c>
      <c r="I808" t="s">
        <v>25</v>
      </c>
      <c r="J808">
        <v>3</v>
      </c>
      <c r="K808" t="s">
        <v>26</v>
      </c>
      <c r="L808">
        <v>26</v>
      </c>
      <c r="M808" t="s">
        <v>27</v>
      </c>
      <c r="N808" t="s">
        <v>28</v>
      </c>
      <c r="O808">
        <v>1</v>
      </c>
      <c r="P808" t="s">
        <v>39</v>
      </c>
      <c r="Q808">
        <v>1</v>
      </c>
      <c r="R808" t="s">
        <v>27</v>
      </c>
      <c r="S808" t="s">
        <v>75</v>
      </c>
      <c r="T808" t="s">
        <v>31</v>
      </c>
    </row>
    <row r="809" spans="1:20" x14ac:dyDescent="0.35">
      <c r="A809" t="s">
        <v>867</v>
      </c>
      <c r="B809">
        <v>12</v>
      </c>
      <c r="C809" t="s">
        <v>21</v>
      </c>
      <c r="D809" t="s">
        <v>22</v>
      </c>
      <c r="E809">
        <v>102300</v>
      </c>
      <c r="F809" s="2" t="s">
        <v>23</v>
      </c>
      <c r="G809" t="s">
        <v>24</v>
      </c>
      <c r="H809">
        <v>4</v>
      </c>
      <c r="I809" t="s">
        <v>25</v>
      </c>
      <c r="J809">
        <v>4</v>
      </c>
      <c r="K809" t="s">
        <v>26</v>
      </c>
      <c r="L809">
        <v>65</v>
      </c>
      <c r="M809" t="s">
        <v>27</v>
      </c>
      <c r="N809" t="s">
        <v>28</v>
      </c>
      <c r="O809">
        <v>4</v>
      </c>
      <c r="P809" t="s">
        <v>29</v>
      </c>
      <c r="Q809">
        <v>1</v>
      </c>
      <c r="R809" t="s">
        <v>27</v>
      </c>
      <c r="S809" t="s">
        <v>30</v>
      </c>
      <c r="T809" t="s">
        <v>31</v>
      </c>
    </row>
    <row r="810" spans="1:20" x14ac:dyDescent="0.35">
      <c r="A810" t="s">
        <v>868</v>
      </c>
      <c r="B810">
        <v>42</v>
      </c>
      <c r="C810" t="s">
        <v>81</v>
      </c>
      <c r="D810" t="s">
        <v>51</v>
      </c>
      <c r="E810">
        <v>1021130</v>
      </c>
      <c r="F810" s="1" t="s">
        <v>1060</v>
      </c>
      <c r="G810" t="s">
        <v>57</v>
      </c>
      <c r="H810">
        <v>1</v>
      </c>
      <c r="I810" t="s">
        <v>25</v>
      </c>
      <c r="J810">
        <v>2</v>
      </c>
      <c r="K810" t="s">
        <v>47</v>
      </c>
      <c r="L810">
        <v>55</v>
      </c>
      <c r="M810" t="s">
        <v>69</v>
      </c>
      <c r="N810" t="s">
        <v>43</v>
      </c>
      <c r="O810">
        <v>1</v>
      </c>
      <c r="P810" t="s">
        <v>54</v>
      </c>
      <c r="Q810">
        <v>1</v>
      </c>
      <c r="R810" t="s">
        <v>30</v>
      </c>
      <c r="S810" t="s">
        <v>30</v>
      </c>
      <c r="T810" t="s">
        <v>31</v>
      </c>
    </row>
    <row r="811" spans="1:20" x14ac:dyDescent="0.35">
      <c r="A811" t="s">
        <v>869</v>
      </c>
      <c r="B811">
        <v>15</v>
      </c>
      <c r="C811" t="s">
        <v>68</v>
      </c>
      <c r="D811" t="s">
        <v>46</v>
      </c>
      <c r="E811">
        <v>195580</v>
      </c>
      <c r="F811" s="2" t="s">
        <v>1060</v>
      </c>
      <c r="G811" t="s">
        <v>59</v>
      </c>
      <c r="H811">
        <v>2</v>
      </c>
      <c r="I811" t="s">
        <v>35</v>
      </c>
      <c r="J811">
        <v>1</v>
      </c>
      <c r="K811" t="s">
        <v>26</v>
      </c>
      <c r="L811">
        <v>26</v>
      </c>
      <c r="M811" t="s">
        <v>27</v>
      </c>
      <c r="N811" t="s">
        <v>53</v>
      </c>
      <c r="O811">
        <v>2</v>
      </c>
      <c r="P811" t="s">
        <v>105</v>
      </c>
      <c r="Q811">
        <v>1</v>
      </c>
      <c r="R811" t="s">
        <v>27</v>
      </c>
      <c r="S811" t="s">
        <v>30</v>
      </c>
      <c r="T811" t="s">
        <v>31</v>
      </c>
    </row>
    <row r="812" spans="1:20" x14ac:dyDescent="0.35">
      <c r="A812" t="s">
        <v>870</v>
      </c>
      <c r="B812">
        <v>8</v>
      </c>
      <c r="C812" t="s">
        <v>33</v>
      </c>
      <c r="D812" t="s">
        <v>61</v>
      </c>
      <c r="E812">
        <v>99770</v>
      </c>
      <c r="F812" s="1" t="s">
        <v>1060</v>
      </c>
      <c r="G812" t="s">
        <v>59</v>
      </c>
      <c r="H812">
        <v>3</v>
      </c>
      <c r="I812" t="s">
        <v>25</v>
      </c>
      <c r="J812">
        <v>2</v>
      </c>
      <c r="K812" t="s">
        <v>26</v>
      </c>
      <c r="L812">
        <v>26</v>
      </c>
      <c r="M812" t="s">
        <v>27</v>
      </c>
      <c r="N812" t="s">
        <v>28</v>
      </c>
      <c r="O812">
        <v>1</v>
      </c>
      <c r="P812" t="s">
        <v>29</v>
      </c>
      <c r="Q812">
        <v>1</v>
      </c>
      <c r="R812" t="s">
        <v>30</v>
      </c>
      <c r="S812" t="s">
        <v>30</v>
      </c>
      <c r="T812" t="s">
        <v>31</v>
      </c>
    </row>
    <row r="813" spans="1:20" x14ac:dyDescent="0.35">
      <c r="A813" t="s">
        <v>871</v>
      </c>
      <c r="B813">
        <v>6</v>
      </c>
      <c r="C813" t="s">
        <v>33</v>
      </c>
      <c r="D813" t="s">
        <v>22</v>
      </c>
      <c r="E813">
        <v>53240</v>
      </c>
      <c r="F813" s="2" t="s">
        <v>1060</v>
      </c>
      <c r="G813" t="s">
        <v>38</v>
      </c>
      <c r="H813">
        <v>3</v>
      </c>
      <c r="I813" t="s">
        <v>25</v>
      </c>
      <c r="J813">
        <v>3</v>
      </c>
      <c r="K813" t="s">
        <v>26</v>
      </c>
      <c r="L813">
        <v>28</v>
      </c>
      <c r="M813" t="s">
        <v>69</v>
      </c>
      <c r="N813" t="s">
        <v>28</v>
      </c>
      <c r="O813">
        <v>1</v>
      </c>
      <c r="P813" t="s">
        <v>39</v>
      </c>
      <c r="Q813">
        <v>1</v>
      </c>
      <c r="R813" t="s">
        <v>27</v>
      </c>
      <c r="S813" t="s">
        <v>30</v>
      </c>
      <c r="T813" t="s">
        <v>31</v>
      </c>
    </row>
    <row r="814" spans="1:20" x14ac:dyDescent="0.35">
      <c r="A814" t="s">
        <v>872</v>
      </c>
      <c r="B814">
        <v>36</v>
      </c>
      <c r="C814" t="s">
        <v>21</v>
      </c>
      <c r="D814" t="s">
        <v>51</v>
      </c>
      <c r="E814">
        <v>1059190</v>
      </c>
      <c r="F814" s="1" t="s">
        <v>1060</v>
      </c>
      <c r="G814" t="s">
        <v>38</v>
      </c>
      <c r="H814">
        <v>4</v>
      </c>
      <c r="I814" t="s">
        <v>25</v>
      </c>
      <c r="J814">
        <v>4</v>
      </c>
      <c r="K814" t="s">
        <v>52</v>
      </c>
      <c r="L814">
        <v>24</v>
      </c>
      <c r="M814" t="s">
        <v>27</v>
      </c>
      <c r="N814" t="s">
        <v>28</v>
      </c>
      <c r="O814">
        <v>2</v>
      </c>
      <c r="P814" t="s">
        <v>29</v>
      </c>
      <c r="Q814">
        <v>1</v>
      </c>
      <c r="R814" t="s">
        <v>30</v>
      </c>
      <c r="S814" t="s">
        <v>30</v>
      </c>
      <c r="T814" t="s">
        <v>31</v>
      </c>
    </row>
    <row r="815" spans="1:20" x14ac:dyDescent="0.35">
      <c r="A815" t="s">
        <v>873</v>
      </c>
      <c r="B815">
        <v>48</v>
      </c>
      <c r="C815" t="s">
        <v>33</v>
      </c>
      <c r="D815" t="s">
        <v>94</v>
      </c>
      <c r="E815">
        <v>335610</v>
      </c>
      <c r="F815" s="2" t="s">
        <v>1060</v>
      </c>
      <c r="G815" t="s">
        <v>34</v>
      </c>
      <c r="H815">
        <v>3</v>
      </c>
      <c r="I815" t="s">
        <v>25</v>
      </c>
      <c r="J815">
        <v>4</v>
      </c>
      <c r="K815" t="s">
        <v>52</v>
      </c>
      <c r="L815">
        <v>54</v>
      </c>
      <c r="M815" t="s">
        <v>27</v>
      </c>
      <c r="N815" t="s">
        <v>28</v>
      </c>
      <c r="O815">
        <v>1</v>
      </c>
      <c r="P815" t="s">
        <v>29</v>
      </c>
      <c r="Q815">
        <v>1</v>
      </c>
      <c r="R815" t="s">
        <v>27</v>
      </c>
      <c r="S815" t="s">
        <v>30</v>
      </c>
      <c r="T815" t="s">
        <v>31</v>
      </c>
    </row>
    <row r="816" spans="1:20" x14ac:dyDescent="0.35">
      <c r="A816" t="s">
        <v>874</v>
      </c>
      <c r="B816">
        <v>48</v>
      </c>
      <c r="C816" t="s">
        <v>33</v>
      </c>
      <c r="D816" t="s">
        <v>46</v>
      </c>
      <c r="E816">
        <v>432410</v>
      </c>
      <c r="F816" s="1" t="s">
        <v>1060</v>
      </c>
      <c r="G816" t="s">
        <v>38</v>
      </c>
      <c r="H816">
        <v>4</v>
      </c>
      <c r="I816" t="s">
        <v>25</v>
      </c>
      <c r="J816">
        <v>4</v>
      </c>
      <c r="K816" t="s">
        <v>47</v>
      </c>
      <c r="L816">
        <v>46</v>
      </c>
      <c r="M816" t="s">
        <v>27</v>
      </c>
      <c r="N816" t="s">
        <v>43</v>
      </c>
      <c r="O816">
        <v>1</v>
      </c>
      <c r="P816" t="s">
        <v>29</v>
      </c>
      <c r="Q816">
        <v>2</v>
      </c>
      <c r="R816" t="s">
        <v>27</v>
      </c>
      <c r="S816" t="s">
        <v>30</v>
      </c>
      <c r="T816" t="s">
        <v>31</v>
      </c>
    </row>
    <row r="817" spans="1:20" x14ac:dyDescent="0.35">
      <c r="A817" t="s">
        <v>875</v>
      </c>
      <c r="B817">
        <v>36</v>
      </c>
      <c r="C817" t="s">
        <v>45</v>
      </c>
      <c r="D817" t="s">
        <v>46</v>
      </c>
      <c r="E817">
        <v>817520</v>
      </c>
      <c r="F817" s="2" t="s">
        <v>1060</v>
      </c>
      <c r="G817" t="s">
        <v>34</v>
      </c>
      <c r="H817">
        <v>2</v>
      </c>
      <c r="I817" t="s">
        <v>35</v>
      </c>
      <c r="J817">
        <v>2</v>
      </c>
      <c r="K817" t="s">
        <v>42</v>
      </c>
      <c r="L817">
        <v>54</v>
      </c>
      <c r="M817" t="s">
        <v>27</v>
      </c>
      <c r="N817" t="s">
        <v>53</v>
      </c>
      <c r="O817">
        <v>1</v>
      </c>
      <c r="P817" t="s">
        <v>29</v>
      </c>
      <c r="Q817">
        <v>1</v>
      </c>
      <c r="R817" t="s">
        <v>27</v>
      </c>
      <c r="S817" t="s">
        <v>30</v>
      </c>
      <c r="T817" t="s">
        <v>31</v>
      </c>
    </row>
    <row r="818" spans="1:20" x14ac:dyDescent="0.35">
      <c r="A818" t="s">
        <v>876</v>
      </c>
      <c r="B818">
        <v>6</v>
      </c>
      <c r="C818" t="s">
        <v>33</v>
      </c>
      <c r="D818" t="s">
        <v>94</v>
      </c>
      <c r="E818">
        <v>147180</v>
      </c>
      <c r="F818" s="1" t="s">
        <v>1061</v>
      </c>
      <c r="G818" t="s">
        <v>34</v>
      </c>
      <c r="H818">
        <v>1</v>
      </c>
      <c r="I818" t="s">
        <v>25</v>
      </c>
      <c r="J818">
        <v>4</v>
      </c>
      <c r="K818" t="s">
        <v>26</v>
      </c>
      <c r="L818">
        <v>62</v>
      </c>
      <c r="M818" t="s">
        <v>27</v>
      </c>
      <c r="N818" t="s">
        <v>28</v>
      </c>
      <c r="O818">
        <v>1</v>
      </c>
      <c r="P818" t="s">
        <v>29</v>
      </c>
      <c r="Q818">
        <v>1</v>
      </c>
      <c r="R818" t="s">
        <v>27</v>
      </c>
      <c r="S818" t="s">
        <v>30</v>
      </c>
      <c r="T818" t="s">
        <v>31</v>
      </c>
    </row>
    <row r="819" spans="1:20" x14ac:dyDescent="0.35">
      <c r="A819" t="s">
        <v>877</v>
      </c>
      <c r="B819">
        <v>6</v>
      </c>
      <c r="C819" t="s">
        <v>21</v>
      </c>
      <c r="D819" t="s">
        <v>22</v>
      </c>
      <c r="E819">
        <v>170940</v>
      </c>
      <c r="F819" s="2" t="s">
        <v>1060</v>
      </c>
      <c r="G819" t="s">
        <v>38</v>
      </c>
      <c r="H819">
        <v>1</v>
      </c>
      <c r="I819" t="s">
        <v>35</v>
      </c>
      <c r="J819">
        <v>2</v>
      </c>
      <c r="K819" t="s">
        <v>52</v>
      </c>
      <c r="L819">
        <v>24</v>
      </c>
      <c r="M819" t="s">
        <v>27</v>
      </c>
      <c r="N819" t="s">
        <v>53</v>
      </c>
      <c r="O819">
        <v>2</v>
      </c>
      <c r="P819" t="s">
        <v>29</v>
      </c>
      <c r="Q819">
        <v>1</v>
      </c>
      <c r="R819" t="s">
        <v>30</v>
      </c>
      <c r="S819" t="s">
        <v>30</v>
      </c>
      <c r="T819" t="s">
        <v>31</v>
      </c>
    </row>
    <row r="820" spans="1:20" x14ac:dyDescent="0.35">
      <c r="A820" t="s">
        <v>878</v>
      </c>
      <c r="B820">
        <v>36</v>
      </c>
      <c r="C820" t="s">
        <v>33</v>
      </c>
      <c r="D820" t="s">
        <v>131</v>
      </c>
      <c r="E820">
        <v>1744270</v>
      </c>
      <c r="F820" s="1" t="s">
        <v>1060</v>
      </c>
      <c r="G820" t="s">
        <v>57</v>
      </c>
      <c r="H820">
        <v>2</v>
      </c>
      <c r="I820" t="s">
        <v>25</v>
      </c>
      <c r="J820">
        <v>3</v>
      </c>
      <c r="K820" t="s">
        <v>52</v>
      </c>
      <c r="L820">
        <v>43</v>
      </c>
      <c r="M820" t="s">
        <v>27</v>
      </c>
      <c r="N820" t="s">
        <v>28</v>
      </c>
      <c r="O820">
        <v>1</v>
      </c>
      <c r="P820" t="s">
        <v>54</v>
      </c>
      <c r="Q820">
        <v>1</v>
      </c>
      <c r="R820" t="s">
        <v>27</v>
      </c>
      <c r="S820" t="s">
        <v>30</v>
      </c>
      <c r="T820" t="s">
        <v>31</v>
      </c>
    </row>
    <row r="821" spans="1:20" x14ac:dyDescent="0.35">
      <c r="A821" t="s">
        <v>879</v>
      </c>
      <c r="B821">
        <v>18</v>
      </c>
      <c r="C821" t="s">
        <v>33</v>
      </c>
      <c r="D821" t="s">
        <v>22</v>
      </c>
      <c r="E821">
        <v>147950</v>
      </c>
      <c r="F821" s="2" t="s">
        <v>1060</v>
      </c>
      <c r="G821" t="s">
        <v>34</v>
      </c>
      <c r="H821">
        <v>4</v>
      </c>
      <c r="I821" t="s">
        <v>25</v>
      </c>
      <c r="J821">
        <v>3</v>
      </c>
      <c r="K821" t="s">
        <v>26</v>
      </c>
      <c r="L821">
        <v>26</v>
      </c>
      <c r="M821" t="s">
        <v>69</v>
      </c>
      <c r="N821" t="s">
        <v>28</v>
      </c>
      <c r="O821">
        <v>1</v>
      </c>
      <c r="P821" t="s">
        <v>29</v>
      </c>
      <c r="Q821">
        <v>1</v>
      </c>
      <c r="R821" t="s">
        <v>27</v>
      </c>
      <c r="S821" t="s">
        <v>30</v>
      </c>
      <c r="T821" t="s">
        <v>31</v>
      </c>
    </row>
    <row r="822" spans="1:20" x14ac:dyDescent="0.35">
      <c r="A822" t="s">
        <v>880</v>
      </c>
      <c r="B822">
        <v>12</v>
      </c>
      <c r="C822" t="s">
        <v>33</v>
      </c>
      <c r="D822" t="s">
        <v>46</v>
      </c>
      <c r="E822">
        <v>121110</v>
      </c>
      <c r="F822" s="1" t="s">
        <v>1060</v>
      </c>
      <c r="G822" t="s">
        <v>34</v>
      </c>
      <c r="H822">
        <v>3</v>
      </c>
      <c r="I822" t="s">
        <v>25</v>
      </c>
      <c r="J822">
        <v>2</v>
      </c>
      <c r="K822" t="s">
        <v>26</v>
      </c>
      <c r="L822">
        <v>27</v>
      </c>
      <c r="M822" t="s">
        <v>27</v>
      </c>
      <c r="N822" t="s">
        <v>28</v>
      </c>
      <c r="O822">
        <v>2</v>
      </c>
      <c r="P822" t="s">
        <v>29</v>
      </c>
      <c r="Q822">
        <v>1</v>
      </c>
      <c r="R822" t="s">
        <v>30</v>
      </c>
      <c r="S822" t="s">
        <v>30</v>
      </c>
      <c r="T822" t="s">
        <v>31</v>
      </c>
    </row>
    <row r="823" spans="1:20" x14ac:dyDescent="0.35">
      <c r="A823" t="s">
        <v>881</v>
      </c>
      <c r="B823">
        <v>12</v>
      </c>
      <c r="C823" t="s">
        <v>33</v>
      </c>
      <c r="D823" t="s">
        <v>22</v>
      </c>
      <c r="E823">
        <v>331760</v>
      </c>
      <c r="F823" s="2" t="s">
        <v>1060</v>
      </c>
      <c r="G823" t="s">
        <v>34</v>
      </c>
      <c r="H823">
        <v>3</v>
      </c>
      <c r="I823" t="s">
        <v>25</v>
      </c>
      <c r="J823">
        <v>1</v>
      </c>
      <c r="K823" t="s">
        <v>52</v>
      </c>
      <c r="L823">
        <v>24</v>
      </c>
      <c r="M823" t="s">
        <v>27</v>
      </c>
      <c r="N823" t="s">
        <v>28</v>
      </c>
      <c r="O823">
        <v>1</v>
      </c>
      <c r="P823" t="s">
        <v>29</v>
      </c>
      <c r="Q823">
        <v>1</v>
      </c>
      <c r="R823" t="s">
        <v>27</v>
      </c>
      <c r="S823" t="s">
        <v>30</v>
      </c>
      <c r="T823" t="s">
        <v>31</v>
      </c>
    </row>
    <row r="824" spans="1:20" x14ac:dyDescent="0.35">
      <c r="A824" t="s">
        <v>882</v>
      </c>
      <c r="B824">
        <v>36</v>
      </c>
      <c r="C824" t="s">
        <v>33</v>
      </c>
      <c r="D824" t="s">
        <v>41</v>
      </c>
      <c r="E824">
        <v>298320</v>
      </c>
      <c r="F824" s="1" t="s">
        <v>1060</v>
      </c>
      <c r="G824" t="s">
        <v>24</v>
      </c>
      <c r="H824">
        <v>2</v>
      </c>
      <c r="I824" t="s">
        <v>25</v>
      </c>
      <c r="J824">
        <v>2</v>
      </c>
      <c r="K824" t="s">
        <v>42</v>
      </c>
      <c r="L824">
        <v>41</v>
      </c>
      <c r="M824" t="s">
        <v>69</v>
      </c>
      <c r="N824" t="s">
        <v>28</v>
      </c>
      <c r="O824">
        <v>1</v>
      </c>
      <c r="P824" t="s">
        <v>29</v>
      </c>
      <c r="Q824">
        <v>2</v>
      </c>
      <c r="R824" t="s">
        <v>27</v>
      </c>
      <c r="S824" t="s">
        <v>30</v>
      </c>
      <c r="T824" t="s">
        <v>31</v>
      </c>
    </row>
    <row r="825" spans="1:20" x14ac:dyDescent="0.35">
      <c r="A825" t="s">
        <v>883</v>
      </c>
      <c r="B825">
        <v>8</v>
      </c>
      <c r="C825" t="s">
        <v>21</v>
      </c>
      <c r="D825" t="s">
        <v>46</v>
      </c>
      <c r="E825">
        <v>80410</v>
      </c>
      <c r="F825" s="2" t="s">
        <v>1060</v>
      </c>
      <c r="G825" t="s">
        <v>24</v>
      </c>
      <c r="H825">
        <v>4</v>
      </c>
      <c r="I825" t="s">
        <v>25</v>
      </c>
      <c r="J825">
        <v>4</v>
      </c>
      <c r="K825" t="s">
        <v>26</v>
      </c>
      <c r="L825">
        <v>47</v>
      </c>
      <c r="M825" t="s">
        <v>27</v>
      </c>
      <c r="N825" t="s">
        <v>28</v>
      </c>
      <c r="O825">
        <v>2</v>
      </c>
      <c r="P825" t="s">
        <v>39</v>
      </c>
      <c r="Q825">
        <v>1</v>
      </c>
      <c r="R825" t="s">
        <v>27</v>
      </c>
      <c r="S825" t="s">
        <v>30</v>
      </c>
      <c r="T825" t="s">
        <v>31</v>
      </c>
    </row>
    <row r="826" spans="1:20" x14ac:dyDescent="0.35">
      <c r="A826" t="s">
        <v>884</v>
      </c>
      <c r="B826">
        <v>18</v>
      </c>
      <c r="C826" t="s">
        <v>21</v>
      </c>
      <c r="D826" t="s">
        <v>41</v>
      </c>
      <c r="E826">
        <v>415800</v>
      </c>
      <c r="F826" s="1" t="s">
        <v>1060</v>
      </c>
      <c r="G826" t="s">
        <v>59</v>
      </c>
      <c r="H826">
        <v>3</v>
      </c>
      <c r="I826" t="s">
        <v>25</v>
      </c>
      <c r="J826">
        <v>2</v>
      </c>
      <c r="K826" t="s">
        <v>52</v>
      </c>
      <c r="L826">
        <v>35</v>
      </c>
      <c r="M826" t="s">
        <v>27</v>
      </c>
      <c r="N826" t="s">
        <v>28</v>
      </c>
      <c r="O826">
        <v>2</v>
      </c>
      <c r="P826" t="s">
        <v>54</v>
      </c>
      <c r="Q826">
        <v>1</v>
      </c>
      <c r="R826" t="s">
        <v>30</v>
      </c>
      <c r="S826" t="s">
        <v>30</v>
      </c>
      <c r="T826" t="s">
        <v>31</v>
      </c>
    </row>
    <row r="827" spans="1:20" x14ac:dyDescent="0.35">
      <c r="A827" t="s">
        <v>885</v>
      </c>
      <c r="B827">
        <v>21</v>
      </c>
      <c r="C827" t="s">
        <v>21</v>
      </c>
      <c r="D827" t="s">
        <v>46</v>
      </c>
      <c r="E827">
        <v>176220</v>
      </c>
      <c r="F827" s="2" t="s">
        <v>1060</v>
      </c>
      <c r="G827" t="s">
        <v>24</v>
      </c>
      <c r="H827">
        <v>4</v>
      </c>
      <c r="I827" t="s">
        <v>25</v>
      </c>
      <c r="J827">
        <v>3</v>
      </c>
      <c r="K827" t="s">
        <v>52</v>
      </c>
      <c r="L827">
        <v>30</v>
      </c>
      <c r="M827" t="s">
        <v>27</v>
      </c>
      <c r="N827" t="s">
        <v>28</v>
      </c>
      <c r="O827">
        <v>2</v>
      </c>
      <c r="P827" t="s">
        <v>29</v>
      </c>
      <c r="Q827">
        <v>1</v>
      </c>
      <c r="R827" t="s">
        <v>30</v>
      </c>
      <c r="S827" t="s">
        <v>30</v>
      </c>
      <c r="T827" t="s">
        <v>31</v>
      </c>
    </row>
    <row r="828" spans="1:20" x14ac:dyDescent="0.35">
      <c r="A828" t="s">
        <v>886</v>
      </c>
      <c r="B828">
        <v>18</v>
      </c>
      <c r="C828" t="s">
        <v>21</v>
      </c>
      <c r="D828" t="s">
        <v>46</v>
      </c>
      <c r="E828">
        <v>436260</v>
      </c>
      <c r="F828" s="1" t="s">
        <v>1060</v>
      </c>
      <c r="G828" t="s">
        <v>24</v>
      </c>
      <c r="H828">
        <v>1</v>
      </c>
      <c r="I828" t="s">
        <v>35</v>
      </c>
      <c r="J828">
        <v>4</v>
      </c>
      <c r="K828" t="s">
        <v>26</v>
      </c>
      <c r="L828">
        <v>33</v>
      </c>
      <c r="M828" t="s">
        <v>69</v>
      </c>
      <c r="N828" t="s">
        <v>53</v>
      </c>
      <c r="O828">
        <v>3</v>
      </c>
      <c r="P828" t="s">
        <v>29</v>
      </c>
      <c r="Q828">
        <v>1</v>
      </c>
      <c r="R828" t="s">
        <v>30</v>
      </c>
      <c r="S828" t="s">
        <v>30</v>
      </c>
      <c r="T828" t="s">
        <v>31</v>
      </c>
    </row>
    <row r="829" spans="1:20" x14ac:dyDescent="0.35">
      <c r="A829" t="s">
        <v>887</v>
      </c>
      <c r="B829">
        <v>18</v>
      </c>
      <c r="C829" t="s">
        <v>68</v>
      </c>
      <c r="D829" t="s">
        <v>61</v>
      </c>
      <c r="E829">
        <v>458150</v>
      </c>
      <c r="F829" s="2" t="s">
        <v>1060</v>
      </c>
      <c r="G829" t="s">
        <v>34</v>
      </c>
      <c r="H829">
        <v>2</v>
      </c>
      <c r="I829" t="s">
        <v>25</v>
      </c>
      <c r="J829">
        <v>2</v>
      </c>
      <c r="K829" t="s">
        <v>52</v>
      </c>
      <c r="L829">
        <v>36</v>
      </c>
      <c r="M829" t="s">
        <v>86</v>
      </c>
      <c r="N829" t="s">
        <v>28</v>
      </c>
      <c r="O829">
        <v>2</v>
      </c>
      <c r="P829" t="s">
        <v>29</v>
      </c>
      <c r="Q829">
        <v>2</v>
      </c>
      <c r="R829" t="s">
        <v>27</v>
      </c>
      <c r="S829" t="s">
        <v>30</v>
      </c>
      <c r="T829" t="s">
        <v>31</v>
      </c>
    </row>
    <row r="830" spans="1:20" x14ac:dyDescent="0.35">
      <c r="A830" t="s">
        <v>888</v>
      </c>
      <c r="B830">
        <v>36</v>
      </c>
      <c r="C830" t="s">
        <v>33</v>
      </c>
      <c r="D830" t="s">
        <v>51</v>
      </c>
      <c r="E830">
        <v>916850</v>
      </c>
      <c r="F830" s="1" t="s">
        <v>23</v>
      </c>
      <c r="G830" t="s">
        <v>24</v>
      </c>
      <c r="H830">
        <v>3</v>
      </c>
      <c r="I830" t="s">
        <v>25</v>
      </c>
      <c r="J830">
        <v>4</v>
      </c>
      <c r="K830" t="s">
        <v>47</v>
      </c>
      <c r="L830">
        <v>47</v>
      </c>
      <c r="M830" t="s">
        <v>27</v>
      </c>
      <c r="N830" t="s">
        <v>43</v>
      </c>
      <c r="O830">
        <v>1</v>
      </c>
      <c r="P830" t="s">
        <v>29</v>
      </c>
      <c r="Q830">
        <v>1</v>
      </c>
      <c r="R830" t="s">
        <v>27</v>
      </c>
      <c r="S830" t="s">
        <v>30</v>
      </c>
      <c r="T830" t="s">
        <v>31</v>
      </c>
    </row>
    <row r="831" spans="1:20" x14ac:dyDescent="0.35">
      <c r="A831" t="s">
        <v>889</v>
      </c>
      <c r="B831">
        <v>48</v>
      </c>
      <c r="C831" t="s">
        <v>45</v>
      </c>
      <c r="D831" t="s">
        <v>61</v>
      </c>
      <c r="E831">
        <v>734910</v>
      </c>
      <c r="F831" s="2" t="s">
        <v>23</v>
      </c>
      <c r="G831" t="s">
        <v>34</v>
      </c>
      <c r="H831">
        <v>4</v>
      </c>
      <c r="I831" t="s">
        <v>25</v>
      </c>
      <c r="J831">
        <v>4</v>
      </c>
      <c r="K831" t="s">
        <v>47</v>
      </c>
      <c r="L831">
        <v>38</v>
      </c>
      <c r="M831" t="s">
        <v>27</v>
      </c>
      <c r="N831" t="s">
        <v>43</v>
      </c>
      <c r="O831">
        <v>1</v>
      </c>
      <c r="P831" t="s">
        <v>29</v>
      </c>
      <c r="Q831">
        <v>2</v>
      </c>
      <c r="R831" t="s">
        <v>30</v>
      </c>
      <c r="S831" t="s">
        <v>30</v>
      </c>
      <c r="T831" t="s">
        <v>31</v>
      </c>
    </row>
    <row r="832" spans="1:20" x14ac:dyDescent="0.35">
      <c r="A832" t="s">
        <v>890</v>
      </c>
      <c r="B832">
        <v>24</v>
      </c>
      <c r="C832" t="s">
        <v>45</v>
      </c>
      <c r="D832" t="s">
        <v>61</v>
      </c>
      <c r="E832">
        <v>261250</v>
      </c>
      <c r="F832" s="1" t="s">
        <v>1061</v>
      </c>
      <c r="G832" t="s">
        <v>34</v>
      </c>
      <c r="H832">
        <v>4</v>
      </c>
      <c r="I832" t="s">
        <v>25</v>
      </c>
      <c r="J832">
        <v>2</v>
      </c>
      <c r="K832" t="s">
        <v>52</v>
      </c>
      <c r="L832">
        <v>44</v>
      </c>
      <c r="M832" t="s">
        <v>27</v>
      </c>
      <c r="N832" t="s">
        <v>28</v>
      </c>
      <c r="O832">
        <v>2</v>
      </c>
      <c r="P832" t="s">
        <v>29</v>
      </c>
      <c r="Q832">
        <v>2</v>
      </c>
      <c r="R832" t="s">
        <v>30</v>
      </c>
      <c r="S832" t="s">
        <v>30</v>
      </c>
      <c r="T832" t="s">
        <v>31</v>
      </c>
    </row>
    <row r="833" spans="1:20" x14ac:dyDescent="0.35">
      <c r="A833" t="s">
        <v>891</v>
      </c>
      <c r="B833">
        <v>18</v>
      </c>
      <c r="C833" t="s">
        <v>33</v>
      </c>
      <c r="D833" t="s">
        <v>46</v>
      </c>
      <c r="E833">
        <v>133760</v>
      </c>
      <c r="F833" s="2" t="s">
        <v>1060</v>
      </c>
      <c r="G833" t="s">
        <v>59</v>
      </c>
      <c r="H833">
        <v>4</v>
      </c>
      <c r="I833" t="s">
        <v>35</v>
      </c>
      <c r="J833">
        <v>3</v>
      </c>
      <c r="K833" t="s">
        <v>52</v>
      </c>
      <c r="L833">
        <v>23</v>
      </c>
      <c r="M833" t="s">
        <v>27</v>
      </c>
      <c r="N833" t="s">
        <v>53</v>
      </c>
      <c r="O833">
        <v>1</v>
      </c>
      <c r="P833" t="s">
        <v>29</v>
      </c>
      <c r="Q833">
        <v>1</v>
      </c>
      <c r="R833" t="s">
        <v>30</v>
      </c>
      <c r="S833" t="s">
        <v>30</v>
      </c>
      <c r="T833" t="s">
        <v>31</v>
      </c>
    </row>
    <row r="834" spans="1:20" x14ac:dyDescent="0.35">
      <c r="A834" t="s">
        <v>892</v>
      </c>
      <c r="B834">
        <v>45</v>
      </c>
      <c r="C834" t="s">
        <v>68</v>
      </c>
      <c r="D834" t="s">
        <v>61</v>
      </c>
      <c r="E834">
        <v>1299760</v>
      </c>
      <c r="F834" s="1" t="s">
        <v>1060</v>
      </c>
      <c r="G834" t="s">
        <v>24</v>
      </c>
      <c r="H834">
        <v>2</v>
      </c>
      <c r="I834" t="s">
        <v>25</v>
      </c>
      <c r="J834">
        <v>4</v>
      </c>
      <c r="K834" t="s">
        <v>52</v>
      </c>
      <c r="L834">
        <v>29</v>
      </c>
      <c r="M834" t="s">
        <v>27</v>
      </c>
      <c r="N834" t="s">
        <v>53</v>
      </c>
      <c r="O834">
        <v>2</v>
      </c>
      <c r="P834" t="s">
        <v>29</v>
      </c>
      <c r="Q834">
        <v>1</v>
      </c>
      <c r="R834" t="s">
        <v>27</v>
      </c>
      <c r="S834" t="s">
        <v>30</v>
      </c>
      <c r="T834" t="s">
        <v>31</v>
      </c>
    </row>
    <row r="835" spans="1:20" x14ac:dyDescent="0.35">
      <c r="A835" t="s">
        <v>893</v>
      </c>
      <c r="B835">
        <v>24</v>
      </c>
      <c r="C835" t="s">
        <v>33</v>
      </c>
      <c r="D835" t="s">
        <v>22</v>
      </c>
      <c r="E835">
        <v>559240</v>
      </c>
      <c r="F835" s="2" t="s">
        <v>23</v>
      </c>
      <c r="G835" t="s">
        <v>24</v>
      </c>
      <c r="H835">
        <v>2</v>
      </c>
      <c r="I835" t="s">
        <v>35</v>
      </c>
      <c r="J835">
        <v>4</v>
      </c>
      <c r="K835" t="s">
        <v>52</v>
      </c>
      <c r="L835">
        <v>42</v>
      </c>
      <c r="M835" t="s">
        <v>27</v>
      </c>
      <c r="N835" t="s">
        <v>28</v>
      </c>
      <c r="O835">
        <v>1</v>
      </c>
      <c r="P835" t="s">
        <v>29</v>
      </c>
      <c r="Q835">
        <v>1</v>
      </c>
      <c r="R835" t="s">
        <v>30</v>
      </c>
      <c r="S835" t="s">
        <v>30</v>
      </c>
      <c r="T835" t="s">
        <v>31</v>
      </c>
    </row>
    <row r="836" spans="1:20" x14ac:dyDescent="0.35">
      <c r="A836" t="s">
        <v>894</v>
      </c>
      <c r="B836">
        <v>15</v>
      </c>
      <c r="C836" t="s">
        <v>33</v>
      </c>
      <c r="D836" t="s">
        <v>22</v>
      </c>
      <c r="E836">
        <v>255970</v>
      </c>
      <c r="F836" s="1" t="s">
        <v>1060</v>
      </c>
      <c r="G836" t="s">
        <v>59</v>
      </c>
      <c r="H836">
        <v>2</v>
      </c>
      <c r="I836" t="s">
        <v>35</v>
      </c>
      <c r="J836">
        <v>3</v>
      </c>
      <c r="K836" t="s">
        <v>26</v>
      </c>
      <c r="L836">
        <v>25</v>
      </c>
      <c r="M836" t="s">
        <v>27</v>
      </c>
      <c r="N836" t="s">
        <v>28</v>
      </c>
      <c r="O836">
        <v>1</v>
      </c>
      <c r="P836" t="s">
        <v>39</v>
      </c>
      <c r="Q836">
        <v>1</v>
      </c>
      <c r="R836" t="s">
        <v>27</v>
      </c>
      <c r="S836" t="s">
        <v>30</v>
      </c>
      <c r="T836" t="s">
        <v>31</v>
      </c>
    </row>
    <row r="837" spans="1:20" x14ac:dyDescent="0.35">
      <c r="A837" t="s">
        <v>895</v>
      </c>
      <c r="B837">
        <v>12</v>
      </c>
      <c r="C837" t="s">
        <v>68</v>
      </c>
      <c r="D837" t="s">
        <v>46</v>
      </c>
      <c r="E837">
        <v>119020</v>
      </c>
      <c r="F837" s="2" t="s">
        <v>1060</v>
      </c>
      <c r="G837" t="s">
        <v>34</v>
      </c>
      <c r="H837">
        <v>4</v>
      </c>
      <c r="I837" t="s">
        <v>25</v>
      </c>
      <c r="J837">
        <v>4</v>
      </c>
      <c r="K837" t="s">
        <v>52</v>
      </c>
      <c r="L837">
        <v>48</v>
      </c>
      <c r="M837" t="s">
        <v>69</v>
      </c>
      <c r="N837" t="s">
        <v>28</v>
      </c>
      <c r="O837">
        <v>2</v>
      </c>
      <c r="P837" t="s">
        <v>29</v>
      </c>
      <c r="Q837">
        <v>1</v>
      </c>
      <c r="R837" t="s">
        <v>27</v>
      </c>
      <c r="S837" t="s">
        <v>30</v>
      </c>
      <c r="T837" t="s">
        <v>31</v>
      </c>
    </row>
    <row r="838" spans="1:20" x14ac:dyDescent="0.35">
      <c r="A838" t="s">
        <v>896</v>
      </c>
      <c r="B838">
        <v>12</v>
      </c>
      <c r="C838" t="s">
        <v>33</v>
      </c>
      <c r="D838" t="s">
        <v>22</v>
      </c>
      <c r="E838">
        <v>97460</v>
      </c>
      <c r="F838" s="1" t="s">
        <v>23</v>
      </c>
      <c r="G838" t="s">
        <v>34</v>
      </c>
      <c r="H838">
        <v>4</v>
      </c>
      <c r="I838" t="s">
        <v>35</v>
      </c>
      <c r="J838">
        <v>2</v>
      </c>
      <c r="K838" t="s">
        <v>52</v>
      </c>
      <c r="L838">
        <v>21</v>
      </c>
      <c r="M838" t="s">
        <v>27</v>
      </c>
      <c r="N838" t="s">
        <v>28</v>
      </c>
      <c r="O838">
        <v>1</v>
      </c>
      <c r="P838" t="s">
        <v>29</v>
      </c>
      <c r="Q838">
        <v>1</v>
      </c>
      <c r="R838" t="s">
        <v>27</v>
      </c>
      <c r="S838" t="s">
        <v>30</v>
      </c>
      <c r="T838" t="s">
        <v>31</v>
      </c>
    </row>
    <row r="839" spans="1:20" x14ac:dyDescent="0.35">
      <c r="A839" t="s">
        <v>897</v>
      </c>
      <c r="B839">
        <v>4</v>
      </c>
      <c r="C839" t="s">
        <v>33</v>
      </c>
      <c r="D839" t="s">
        <v>41</v>
      </c>
      <c r="E839">
        <v>66110</v>
      </c>
      <c r="F839" s="2" t="s">
        <v>1060</v>
      </c>
      <c r="G839" t="s">
        <v>59</v>
      </c>
      <c r="H839">
        <v>1</v>
      </c>
      <c r="I839" t="s">
        <v>35</v>
      </c>
      <c r="J839">
        <v>3</v>
      </c>
      <c r="K839" t="s">
        <v>26</v>
      </c>
      <c r="L839">
        <v>23</v>
      </c>
      <c r="M839" t="s">
        <v>27</v>
      </c>
      <c r="N839" t="s">
        <v>53</v>
      </c>
      <c r="O839">
        <v>1</v>
      </c>
      <c r="P839" t="s">
        <v>39</v>
      </c>
      <c r="Q839">
        <v>2</v>
      </c>
      <c r="R839" t="s">
        <v>27</v>
      </c>
      <c r="S839" t="s">
        <v>30</v>
      </c>
      <c r="T839" t="s">
        <v>31</v>
      </c>
    </row>
    <row r="840" spans="1:20" x14ac:dyDescent="0.35">
      <c r="A840" t="s">
        <v>898</v>
      </c>
      <c r="B840">
        <v>24</v>
      </c>
      <c r="C840" t="s">
        <v>21</v>
      </c>
      <c r="D840" t="s">
        <v>51</v>
      </c>
      <c r="E840">
        <v>325270</v>
      </c>
      <c r="F840" s="1" t="s">
        <v>1060</v>
      </c>
      <c r="G840" t="s">
        <v>24</v>
      </c>
      <c r="H840">
        <v>4</v>
      </c>
      <c r="I840" t="s">
        <v>25</v>
      </c>
      <c r="J840">
        <v>4</v>
      </c>
      <c r="K840" t="s">
        <v>42</v>
      </c>
      <c r="L840">
        <v>63</v>
      </c>
      <c r="M840" t="s">
        <v>27</v>
      </c>
      <c r="N840" t="s">
        <v>28</v>
      </c>
      <c r="O840">
        <v>2</v>
      </c>
      <c r="P840" t="s">
        <v>29</v>
      </c>
      <c r="Q840">
        <v>1</v>
      </c>
      <c r="R840" t="s">
        <v>30</v>
      </c>
      <c r="S840" t="s">
        <v>30</v>
      </c>
      <c r="T840" t="s">
        <v>31</v>
      </c>
    </row>
    <row r="841" spans="1:20" x14ac:dyDescent="0.35">
      <c r="A841" t="s">
        <v>899</v>
      </c>
      <c r="B841">
        <v>24</v>
      </c>
      <c r="C841" t="s">
        <v>21</v>
      </c>
      <c r="D841" t="s">
        <v>22</v>
      </c>
      <c r="E841">
        <v>287210</v>
      </c>
      <c r="F841" s="2" t="s">
        <v>1060</v>
      </c>
      <c r="G841" t="s">
        <v>24</v>
      </c>
      <c r="H841">
        <v>4</v>
      </c>
      <c r="I841" t="s">
        <v>25</v>
      </c>
      <c r="J841">
        <v>3</v>
      </c>
      <c r="K841" t="s">
        <v>26</v>
      </c>
      <c r="L841">
        <v>46</v>
      </c>
      <c r="M841" t="s">
        <v>27</v>
      </c>
      <c r="N841" t="s">
        <v>28</v>
      </c>
      <c r="O841">
        <v>2</v>
      </c>
      <c r="P841" t="s">
        <v>29</v>
      </c>
      <c r="Q841">
        <v>1</v>
      </c>
      <c r="R841" t="s">
        <v>27</v>
      </c>
      <c r="S841" t="s">
        <v>30</v>
      </c>
      <c r="T841" t="s">
        <v>31</v>
      </c>
    </row>
    <row r="842" spans="1:20" x14ac:dyDescent="0.35">
      <c r="A842" t="s">
        <v>900</v>
      </c>
      <c r="B842">
        <v>36</v>
      </c>
      <c r="C842" t="s">
        <v>33</v>
      </c>
      <c r="D842" t="s">
        <v>41</v>
      </c>
      <c r="E842">
        <v>569690</v>
      </c>
      <c r="F842" s="1" t="s">
        <v>1060</v>
      </c>
      <c r="G842" t="s">
        <v>38</v>
      </c>
      <c r="H842">
        <v>4</v>
      </c>
      <c r="I842" t="s">
        <v>25</v>
      </c>
      <c r="J842">
        <v>2</v>
      </c>
      <c r="K842" t="s">
        <v>42</v>
      </c>
      <c r="L842">
        <v>29</v>
      </c>
      <c r="M842" t="s">
        <v>27</v>
      </c>
      <c r="N842" t="s">
        <v>28</v>
      </c>
      <c r="O842">
        <v>1</v>
      </c>
      <c r="P842" t="s">
        <v>29</v>
      </c>
      <c r="Q842">
        <v>1</v>
      </c>
      <c r="R842" t="s">
        <v>27</v>
      </c>
      <c r="S842" t="s">
        <v>30</v>
      </c>
      <c r="T842" t="s">
        <v>31</v>
      </c>
    </row>
    <row r="843" spans="1:20" x14ac:dyDescent="0.35">
      <c r="A843" t="s">
        <v>901</v>
      </c>
      <c r="B843">
        <v>21</v>
      </c>
      <c r="C843" t="s">
        <v>45</v>
      </c>
      <c r="D843" t="s">
        <v>51</v>
      </c>
      <c r="E843">
        <v>329230</v>
      </c>
      <c r="F843" s="2" t="s">
        <v>1060</v>
      </c>
      <c r="G843" t="s">
        <v>34</v>
      </c>
      <c r="H843">
        <v>3</v>
      </c>
      <c r="I843" t="s">
        <v>25</v>
      </c>
      <c r="J843">
        <v>2</v>
      </c>
      <c r="K843" t="s">
        <v>26</v>
      </c>
      <c r="L843">
        <v>28</v>
      </c>
      <c r="M843" t="s">
        <v>86</v>
      </c>
      <c r="N843" t="s">
        <v>28</v>
      </c>
      <c r="O843">
        <v>2</v>
      </c>
      <c r="P843" t="s">
        <v>39</v>
      </c>
      <c r="Q843">
        <v>1</v>
      </c>
      <c r="R843" t="s">
        <v>27</v>
      </c>
      <c r="S843" t="s">
        <v>30</v>
      </c>
      <c r="T843" t="s">
        <v>31</v>
      </c>
    </row>
    <row r="844" spans="1:20" x14ac:dyDescent="0.35">
      <c r="A844" t="s">
        <v>902</v>
      </c>
      <c r="B844">
        <v>18</v>
      </c>
      <c r="C844" t="s">
        <v>33</v>
      </c>
      <c r="D844" t="s">
        <v>99</v>
      </c>
      <c r="E844">
        <v>213730</v>
      </c>
      <c r="F844" s="1" t="s">
        <v>1060</v>
      </c>
      <c r="G844" t="s">
        <v>59</v>
      </c>
      <c r="H844">
        <v>4</v>
      </c>
      <c r="I844" t="s">
        <v>35</v>
      </c>
      <c r="J844">
        <v>4</v>
      </c>
      <c r="K844" t="s">
        <v>26</v>
      </c>
      <c r="L844">
        <v>23</v>
      </c>
      <c r="M844" t="s">
        <v>27</v>
      </c>
      <c r="N844" t="s">
        <v>28</v>
      </c>
      <c r="O844">
        <v>1</v>
      </c>
      <c r="P844" t="s">
        <v>29</v>
      </c>
      <c r="Q844">
        <v>1</v>
      </c>
      <c r="R844" t="s">
        <v>27</v>
      </c>
      <c r="S844" t="s">
        <v>30</v>
      </c>
      <c r="T844" t="s">
        <v>31</v>
      </c>
    </row>
    <row r="845" spans="1:20" x14ac:dyDescent="0.35">
      <c r="A845" t="s">
        <v>903</v>
      </c>
      <c r="B845">
        <v>24</v>
      </c>
      <c r="C845" t="s">
        <v>81</v>
      </c>
      <c r="D845" t="s">
        <v>61</v>
      </c>
      <c r="E845">
        <v>171490</v>
      </c>
      <c r="F845" s="2" t="s">
        <v>1060</v>
      </c>
      <c r="G845" t="s">
        <v>38</v>
      </c>
      <c r="H845">
        <v>4</v>
      </c>
      <c r="I845" t="s">
        <v>25</v>
      </c>
      <c r="J845">
        <v>4</v>
      </c>
      <c r="K845" t="s">
        <v>52</v>
      </c>
      <c r="L845">
        <v>50</v>
      </c>
      <c r="M845" t="s">
        <v>69</v>
      </c>
      <c r="N845" t="s">
        <v>28</v>
      </c>
      <c r="O845">
        <v>1</v>
      </c>
      <c r="P845" t="s">
        <v>29</v>
      </c>
      <c r="Q845">
        <v>1</v>
      </c>
      <c r="R845" t="s">
        <v>30</v>
      </c>
      <c r="S845" t="s">
        <v>30</v>
      </c>
      <c r="T845" t="s">
        <v>31</v>
      </c>
    </row>
    <row r="846" spans="1:20" x14ac:dyDescent="0.35">
      <c r="A846" t="s">
        <v>904</v>
      </c>
      <c r="B846">
        <v>18</v>
      </c>
      <c r="C846" t="s">
        <v>33</v>
      </c>
      <c r="D846" t="s">
        <v>41</v>
      </c>
      <c r="E846">
        <v>376420</v>
      </c>
      <c r="F846" s="1" t="s">
        <v>1060</v>
      </c>
      <c r="G846" t="s">
        <v>24</v>
      </c>
      <c r="H846">
        <v>4</v>
      </c>
      <c r="I846" t="s">
        <v>25</v>
      </c>
      <c r="J846">
        <v>4</v>
      </c>
      <c r="K846" t="s">
        <v>42</v>
      </c>
      <c r="L846">
        <v>47</v>
      </c>
      <c r="M846" t="s">
        <v>69</v>
      </c>
      <c r="N846" t="s">
        <v>28</v>
      </c>
      <c r="O846">
        <v>3</v>
      </c>
      <c r="P846" t="s">
        <v>29</v>
      </c>
      <c r="Q846">
        <v>2</v>
      </c>
      <c r="R846" t="s">
        <v>30</v>
      </c>
      <c r="S846" t="s">
        <v>30</v>
      </c>
      <c r="T846" t="s">
        <v>31</v>
      </c>
    </row>
    <row r="847" spans="1:20" x14ac:dyDescent="0.35">
      <c r="A847" t="s">
        <v>905</v>
      </c>
      <c r="B847">
        <v>21</v>
      </c>
      <c r="C847" t="s">
        <v>33</v>
      </c>
      <c r="D847" t="s">
        <v>41</v>
      </c>
      <c r="E847">
        <v>437360</v>
      </c>
      <c r="F847" s="2" t="s">
        <v>23</v>
      </c>
      <c r="G847" t="s">
        <v>38</v>
      </c>
      <c r="H847">
        <v>2</v>
      </c>
      <c r="I847" t="s">
        <v>25</v>
      </c>
      <c r="J847">
        <v>3</v>
      </c>
      <c r="K847" t="s">
        <v>52</v>
      </c>
      <c r="L847">
        <v>35</v>
      </c>
      <c r="M847" t="s">
        <v>27</v>
      </c>
      <c r="N847" t="s">
        <v>28</v>
      </c>
      <c r="O847">
        <v>1</v>
      </c>
      <c r="P847" t="s">
        <v>29</v>
      </c>
      <c r="Q847">
        <v>1</v>
      </c>
      <c r="R847" t="s">
        <v>30</v>
      </c>
      <c r="S847" t="s">
        <v>30</v>
      </c>
      <c r="T847" t="s">
        <v>31</v>
      </c>
    </row>
    <row r="848" spans="1:20" x14ac:dyDescent="0.35">
      <c r="A848" t="s">
        <v>906</v>
      </c>
      <c r="B848">
        <v>18</v>
      </c>
      <c r="C848" t="s">
        <v>33</v>
      </c>
      <c r="D848" t="s">
        <v>46</v>
      </c>
      <c r="E848">
        <v>743710</v>
      </c>
      <c r="F848" s="1" t="s">
        <v>23</v>
      </c>
      <c r="G848" t="s">
        <v>34</v>
      </c>
      <c r="H848">
        <v>2</v>
      </c>
      <c r="I848" t="s">
        <v>25</v>
      </c>
      <c r="J848">
        <v>4</v>
      </c>
      <c r="K848" t="s">
        <v>52</v>
      </c>
      <c r="L848">
        <v>68</v>
      </c>
      <c r="M848" t="s">
        <v>27</v>
      </c>
      <c r="N848" t="s">
        <v>53</v>
      </c>
      <c r="O848">
        <v>2</v>
      </c>
      <c r="P848" t="s">
        <v>29</v>
      </c>
      <c r="Q848">
        <v>1</v>
      </c>
      <c r="R848" t="s">
        <v>27</v>
      </c>
      <c r="S848" t="s">
        <v>30</v>
      </c>
      <c r="T848" t="s">
        <v>31</v>
      </c>
    </row>
    <row r="849" spans="1:20" x14ac:dyDescent="0.35">
      <c r="A849" t="s">
        <v>907</v>
      </c>
      <c r="B849">
        <v>24</v>
      </c>
      <c r="C849" t="s">
        <v>33</v>
      </c>
      <c r="D849" t="s">
        <v>46</v>
      </c>
      <c r="E849">
        <v>137390</v>
      </c>
      <c r="F849" s="2" t="s">
        <v>1060</v>
      </c>
      <c r="G849" t="s">
        <v>59</v>
      </c>
      <c r="H849">
        <v>4</v>
      </c>
      <c r="I849" t="s">
        <v>25</v>
      </c>
      <c r="J849">
        <v>2</v>
      </c>
      <c r="K849" t="s">
        <v>26</v>
      </c>
      <c r="L849">
        <v>28</v>
      </c>
      <c r="M849" t="s">
        <v>27</v>
      </c>
      <c r="N849" t="s">
        <v>28</v>
      </c>
      <c r="O849">
        <v>1</v>
      </c>
      <c r="P849" t="s">
        <v>29</v>
      </c>
      <c r="Q849">
        <v>1</v>
      </c>
      <c r="R849" t="s">
        <v>27</v>
      </c>
      <c r="S849" t="s">
        <v>30</v>
      </c>
      <c r="T849" t="s">
        <v>31</v>
      </c>
    </row>
    <row r="850" spans="1:20" x14ac:dyDescent="0.35">
      <c r="A850" t="s">
        <v>908</v>
      </c>
      <c r="B850">
        <v>9</v>
      </c>
      <c r="C850" t="s">
        <v>33</v>
      </c>
      <c r="D850" t="s">
        <v>22</v>
      </c>
      <c r="E850">
        <v>150040</v>
      </c>
      <c r="F850" s="1" t="s">
        <v>1060</v>
      </c>
      <c r="G850" t="s">
        <v>38</v>
      </c>
      <c r="H850">
        <v>3</v>
      </c>
      <c r="I850" t="s">
        <v>25</v>
      </c>
      <c r="J850">
        <v>4</v>
      </c>
      <c r="K850" t="s">
        <v>26</v>
      </c>
      <c r="L850">
        <v>59</v>
      </c>
      <c r="M850" t="s">
        <v>27</v>
      </c>
      <c r="N850" t="s">
        <v>28</v>
      </c>
      <c r="O850">
        <v>1</v>
      </c>
      <c r="P850" t="s">
        <v>29</v>
      </c>
      <c r="Q850">
        <v>1</v>
      </c>
      <c r="R850" t="s">
        <v>27</v>
      </c>
      <c r="S850" t="s">
        <v>30</v>
      </c>
      <c r="T850" t="s">
        <v>31</v>
      </c>
    </row>
    <row r="851" spans="1:20" x14ac:dyDescent="0.35">
      <c r="A851" t="s">
        <v>909</v>
      </c>
      <c r="B851">
        <v>12</v>
      </c>
      <c r="C851" t="s">
        <v>33</v>
      </c>
      <c r="D851" t="s">
        <v>22</v>
      </c>
      <c r="E851">
        <v>77990</v>
      </c>
      <c r="F851" s="2" t="s">
        <v>1060</v>
      </c>
      <c r="G851" t="s">
        <v>24</v>
      </c>
      <c r="H851">
        <v>4</v>
      </c>
      <c r="I851" t="s">
        <v>25</v>
      </c>
      <c r="J851">
        <v>4</v>
      </c>
      <c r="K851" t="s">
        <v>26</v>
      </c>
      <c r="L851">
        <v>57</v>
      </c>
      <c r="M851" t="s">
        <v>86</v>
      </c>
      <c r="N851" t="s">
        <v>28</v>
      </c>
      <c r="O851">
        <v>1</v>
      </c>
      <c r="P851" t="s">
        <v>39</v>
      </c>
      <c r="Q851">
        <v>1</v>
      </c>
      <c r="R851" t="s">
        <v>27</v>
      </c>
      <c r="S851" t="s">
        <v>30</v>
      </c>
      <c r="T851" t="s">
        <v>31</v>
      </c>
    </row>
    <row r="852" spans="1:20" x14ac:dyDescent="0.35">
      <c r="A852" t="s">
        <v>910</v>
      </c>
      <c r="B852">
        <v>20</v>
      </c>
      <c r="C852" t="s">
        <v>21</v>
      </c>
      <c r="D852" t="s">
        <v>46</v>
      </c>
      <c r="E852">
        <v>245850</v>
      </c>
      <c r="F852" s="1" t="s">
        <v>1060</v>
      </c>
      <c r="G852" t="s">
        <v>34</v>
      </c>
      <c r="H852">
        <v>4</v>
      </c>
      <c r="I852" t="s">
        <v>25</v>
      </c>
      <c r="J852">
        <v>2</v>
      </c>
      <c r="K852" t="s">
        <v>42</v>
      </c>
      <c r="L852">
        <v>33</v>
      </c>
      <c r="M852" t="s">
        <v>69</v>
      </c>
      <c r="N852" t="s">
        <v>53</v>
      </c>
      <c r="O852">
        <v>2</v>
      </c>
      <c r="P852" t="s">
        <v>29</v>
      </c>
      <c r="Q852">
        <v>1</v>
      </c>
      <c r="R852" t="s">
        <v>27</v>
      </c>
      <c r="S852" t="s">
        <v>75</v>
      </c>
      <c r="T852" t="s">
        <v>31</v>
      </c>
    </row>
    <row r="853" spans="1:20" x14ac:dyDescent="0.35">
      <c r="A853" t="s">
        <v>911</v>
      </c>
      <c r="B853">
        <v>24</v>
      </c>
      <c r="C853" t="s">
        <v>21</v>
      </c>
      <c r="D853" t="s">
        <v>51</v>
      </c>
      <c r="E853">
        <v>444620</v>
      </c>
      <c r="F853" s="2" t="s">
        <v>23</v>
      </c>
      <c r="G853" t="s">
        <v>38</v>
      </c>
      <c r="H853">
        <v>3</v>
      </c>
      <c r="I853" t="s">
        <v>25</v>
      </c>
      <c r="J853">
        <v>4</v>
      </c>
      <c r="K853" t="s">
        <v>42</v>
      </c>
      <c r="L853">
        <v>43</v>
      </c>
      <c r="M853" t="s">
        <v>27</v>
      </c>
      <c r="N853" t="s">
        <v>28</v>
      </c>
      <c r="O853">
        <v>2</v>
      </c>
      <c r="P853" t="s">
        <v>29</v>
      </c>
      <c r="Q853">
        <v>1</v>
      </c>
      <c r="R853" t="s">
        <v>30</v>
      </c>
      <c r="S853" t="s">
        <v>30</v>
      </c>
      <c r="T853" t="s">
        <v>31</v>
      </c>
    </row>
    <row r="854" spans="1:20" x14ac:dyDescent="0.35">
      <c r="A854" t="s">
        <v>912</v>
      </c>
      <c r="B854">
        <v>15</v>
      </c>
      <c r="C854" t="s">
        <v>21</v>
      </c>
      <c r="D854" t="s">
        <v>22</v>
      </c>
      <c r="E854">
        <v>161810</v>
      </c>
      <c r="F854" s="1" t="s">
        <v>1060</v>
      </c>
      <c r="G854" t="s">
        <v>34</v>
      </c>
      <c r="H854">
        <v>4</v>
      </c>
      <c r="I854" t="s">
        <v>25</v>
      </c>
      <c r="J854">
        <v>4</v>
      </c>
      <c r="K854" t="s">
        <v>47</v>
      </c>
      <c r="L854">
        <v>35</v>
      </c>
      <c r="M854" t="s">
        <v>27</v>
      </c>
      <c r="N854" t="s">
        <v>43</v>
      </c>
      <c r="O854">
        <v>2</v>
      </c>
      <c r="P854" t="s">
        <v>29</v>
      </c>
      <c r="Q854">
        <v>1</v>
      </c>
      <c r="R854" t="s">
        <v>30</v>
      </c>
      <c r="S854" t="s">
        <v>30</v>
      </c>
      <c r="T854" t="s">
        <v>31</v>
      </c>
    </row>
    <row r="855" spans="1:20" x14ac:dyDescent="0.35">
      <c r="A855" t="s">
        <v>913</v>
      </c>
      <c r="B855">
        <v>18</v>
      </c>
      <c r="C855" t="s">
        <v>81</v>
      </c>
      <c r="D855" t="s">
        <v>46</v>
      </c>
      <c r="E855">
        <v>158620</v>
      </c>
      <c r="F855" s="2" t="s">
        <v>1060</v>
      </c>
      <c r="G855" t="s">
        <v>38</v>
      </c>
      <c r="H855">
        <v>4</v>
      </c>
      <c r="I855" t="s">
        <v>25</v>
      </c>
      <c r="J855">
        <v>4</v>
      </c>
      <c r="K855" t="s">
        <v>47</v>
      </c>
      <c r="L855">
        <v>32</v>
      </c>
      <c r="M855" t="s">
        <v>27</v>
      </c>
      <c r="N855" t="s">
        <v>43</v>
      </c>
      <c r="O855">
        <v>2</v>
      </c>
      <c r="P855" t="s">
        <v>39</v>
      </c>
      <c r="Q855">
        <v>2</v>
      </c>
      <c r="R855" t="s">
        <v>27</v>
      </c>
      <c r="S855" t="s">
        <v>30</v>
      </c>
      <c r="T855" t="s">
        <v>31</v>
      </c>
    </row>
    <row r="856" spans="1:20" x14ac:dyDescent="0.35">
      <c r="A856" t="s">
        <v>914</v>
      </c>
      <c r="B856">
        <v>36</v>
      </c>
      <c r="C856" t="s">
        <v>45</v>
      </c>
      <c r="D856" t="s">
        <v>46</v>
      </c>
      <c r="E856">
        <v>1196250</v>
      </c>
      <c r="F856" s="1" t="s">
        <v>1060</v>
      </c>
      <c r="G856" t="s">
        <v>24</v>
      </c>
      <c r="H856">
        <v>2</v>
      </c>
      <c r="I856" t="s">
        <v>25</v>
      </c>
      <c r="J856">
        <v>2</v>
      </c>
      <c r="K856" t="s">
        <v>52</v>
      </c>
      <c r="L856">
        <v>45</v>
      </c>
      <c r="M856" t="s">
        <v>27</v>
      </c>
      <c r="N856" t="s">
        <v>28</v>
      </c>
      <c r="O856">
        <v>2</v>
      </c>
      <c r="P856" t="s">
        <v>29</v>
      </c>
      <c r="Q856">
        <v>2</v>
      </c>
      <c r="R856" t="s">
        <v>30</v>
      </c>
      <c r="S856" t="s">
        <v>30</v>
      </c>
      <c r="T856" t="s">
        <v>31</v>
      </c>
    </row>
    <row r="857" spans="1:20" x14ac:dyDescent="0.35">
      <c r="A857" t="s">
        <v>915</v>
      </c>
      <c r="B857">
        <v>24</v>
      </c>
      <c r="C857" t="s">
        <v>33</v>
      </c>
      <c r="D857" t="s">
        <v>46</v>
      </c>
      <c r="E857">
        <v>162140</v>
      </c>
      <c r="F857" s="2" t="s">
        <v>1063</v>
      </c>
      <c r="G857" t="s">
        <v>59</v>
      </c>
      <c r="H857">
        <v>4</v>
      </c>
      <c r="I857" t="s">
        <v>25</v>
      </c>
      <c r="J857">
        <v>3</v>
      </c>
      <c r="K857" t="s">
        <v>26</v>
      </c>
      <c r="L857">
        <v>33</v>
      </c>
      <c r="M857" t="s">
        <v>27</v>
      </c>
      <c r="N857" t="s">
        <v>28</v>
      </c>
      <c r="O857">
        <v>1</v>
      </c>
      <c r="P857" t="s">
        <v>29</v>
      </c>
      <c r="Q857">
        <v>1</v>
      </c>
      <c r="R857" t="s">
        <v>30</v>
      </c>
      <c r="S857" t="s">
        <v>30</v>
      </c>
      <c r="T857" t="s">
        <v>31</v>
      </c>
    </row>
    <row r="858" spans="1:20" x14ac:dyDescent="0.35">
      <c r="A858" t="s">
        <v>916</v>
      </c>
      <c r="B858">
        <v>10</v>
      </c>
      <c r="C858" t="s">
        <v>33</v>
      </c>
      <c r="D858" t="s">
        <v>217</v>
      </c>
      <c r="E858">
        <v>98340</v>
      </c>
      <c r="F858" s="1" t="s">
        <v>23</v>
      </c>
      <c r="G858" t="s">
        <v>38</v>
      </c>
      <c r="H858">
        <v>4</v>
      </c>
      <c r="I858" t="s">
        <v>35</v>
      </c>
      <c r="J858">
        <v>3</v>
      </c>
      <c r="K858" t="s">
        <v>42</v>
      </c>
      <c r="L858">
        <v>40</v>
      </c>
      <c r="M858" t="s">
        <v>27</v>
      </c>
      <c r="N858" t="s">
        <v>28</v>
      </c>
      <c r="O858">
        <v>1</v>
      </c>
      <c r="P858" t="s">
        <v>29</v>
      </c>
      <c r="Q858">
        <v>1</v>
      </c>
      <c r="R858" t="s">
        <v>30</v>
      </c>
      <c r="S858" t="s">
        <v>30</v>
      </c>
      <c r="T858" t="s">
        <v>31</v>
      </c>
    </row>
    <row r="859" spans="1:20" x14ac:dyDescent="0.35">
      <c r="A859" t="s">
        <v>917</v>
      </c>
      <c r="B859">
        <v>15</v>
      </c>
      <c r="C859" t="s">
        <v>21</v>
      </c>
      <c r="D859" t="s">
        <v>41</v>
      </c>
      <c r="E859">
        <v>367730</v>
      </c>
      <c r="F859" s="2" t="s">
        <v>1060</v>
      </c>
      <c r="G859" t="s">
        <v>34</v>
      </c>
      <c r="H859">
        <v>4</v>
      </c>
      <c r="I859" t="s">
        <v>25</v>
      </c>
      <c r="J859">
        <v>2</v>
      </c>
      <c r="K859" t="s">
        <v>47</v>
      </c>
      <c r="L859">
        <v>28</v>
      </c>
      <c r="M859" t="s">
        <v>27</v>
      </c>
      <c r="N859" t="s">
        <v>43</v>
      </c>
      <c r="O859">
        <v>1</v>
      </c>
      <c r="P859" t="s">
        <v>29</v>
      </c>
      <c r="Q859">
        <v>1</v>
      </c>
      <c r="R859" t="s">
        <v>30</v>
      </c>
      <c r="S859" t="s">
        <v>30</v>
      </c>
      <c r="T859" t="s">
        <v>31</v>
      </c>
    </row>
    <row r="860" spans="1:20" x14ac:dyDescent="0.35">
      <c r="A860" t="s">
        <v>918</v>
      </c>
      <c r="B860">
        <v>15</v>
      </c>
      <c r="C860" t="s">
        <v>33</v>
      </c>
      <c r="D860" t="s">
        <v>46</v>
      </c>
      <c r="E860">
        <v>435490</v>
      </c>
      <c r="F860" s="1" t="s">
        <v>1060</v>
      </c>
      <c r="G860" t="s">
        <v>34</v>
      </c>
      <c r="H860">
        <v>3</v>
      </c>
      <c r="I860" t="s">
        <v>35</v>
      </c>
      <c r="J860">
        <v>2</v>
      </c>
      <c r="K860" t="s">
        <v>42</v>
      </c>
      <c r="L860">
        <v>29</v>
      </c>
      <c r="M860" t="s">
        <v>27</v>
      </c>
      <c r="N860" t="s">
        <v>28</v>
      </c>
      <c r="O860">
        <v>1</v>
      </c>
      <c r="P860" t="s">
        <v>29</v>
      </c>
      <c r="Q860">
        <v>1</v>
      </c>
      <c r="R860" t="s">
        <v>30</v>
      </c>
      <c r="S860" t="s">
        <v>30</v>
      </c>
      <c r="T860" t="s">
        <v>31</v>
      </c>
    </row>
    <row r="861" spans="1:20" x14ac:dyDescent="0.35">
      <c r="A861" t="s">
        <v>919</v>
      </c>
      <c r="B861">
        <v>9</v>
      </c>
      <c r="C861" t="s">
        <v>33</v>
      </c>
      <c r="D861" t="s">
        <v>46</v>
      </c>
      <c r="E861">
        <v>393470</v>
      </c>
      <c r="F861" s="2" t="s">
        <v>1063</v>
      </c>
      <c r="G861" t="s">
        <v>34</v>
      </c>
      <c r="H861">
        <v>1</v>
      </c>
      <c r="I861" t="s">
        <v>25</v>
      </c>
      <c r="J861">
        <v>2</v>
      </c>
      <c r="K861" t="s">
        <v>26</v>
      </c>
      <c r="L861">
        <v>26</v>
      </c>
      <c r="M861" t="s">
        <v>27</v>
      </c>
      <c r="N861" t="s">
        <v>53</v>
      </c>
      <c r="O861">
        <v>1</v>
      </c>
      <c r="P861" t="s">
        <v>29</v>
      </c>
      <c r="Q861">
        <v>2</v>
      </c>
      <c r="R861" t="s">
        <v>27</v>
      </c>
      <c r="S861" t="s">
        <v>75</v>
      </c>
      <c r="T861" t="s">
        <v>31</v>
      </c>
    </row>
    <row r="862" spans="1:20" x14ac:dyDescent="0.35">
      <c r="A862" t="s">
        <v>920</v>
      </c>
      <c r="B862">
        <v>24</v>
      </c>
      <c r="C862" t="s">
        <v>21</v>
      </c>
      <c r="D862" t="s">
        <v>51</v>
      </c>
      <c r="E862">
        <v>638440</v>
      </c>
      <c r="F862" s="1" t="s">
        <v>1062</v>
      </c>
      <c r="G862" t="s">
        <v>34</v>
      </c>
      <c r="H862">
        <v>4</v>
      </c>
      <c r="I862" t="s">
        <v>25</v>
      </c>
      <c r="J862">
        <v>2</v>
      </c>
      <c r="K862" t="s">
        <v>26</v>
      </c>
      <c r="L862">
        <v>27</v>
      </c>
      <c r="M862" t="s">
        <v>27</v>
      </c>
      <c r="N862" t="s">
        <v>28</v>
      </c>
      <c r="O862">
        <v>2</v>
      </c>
      <c r="P862" t="s">
        <v>29</v>
      </c>
      <c r="Q862">
        <v>1</v>
      </c>
      <c r="R862" t="s">
        <v>27</v>
      </c>
      <c r="S862" t="s">
        <v>30</v>
      </c>
      <c r="T862" t="s">
        <v>31</v>
      </c>
    </row>
    <row r="863" spans="1:20" x14ac:dyDescent="0.35">
      <c r="A863" t="s">
        <v>921</v>
      </c>
      <c r="B863">
        <v>18</v>
      </c>
      <c r="C863" t="s">
        <v>45</v>
      </c>
      <c r="D863" t="s">
        <v>61</v>
      </c>
      <c r="E863">
        <v>238590</v>
      </c>
      <c r="F863" s="2" t="s">
        <v>1060</v>
      </c>
      <c r="G863" t="s">
        <v>34</v>
      </c>
      <c r="H863">
        <v>4</v>
      </c>
      <c r="I863" t="s">
        <v>25</v>
      </c>
      <c r="J863">
        <v>2</v>
      </c>
      <c r="K863" t="s">
        <v>52</v>
      </c>
      <c r="L863">
        <v>28</v>
      </c>
      <c r="M863" t="s">
        <v>27</v>
      </c>
      <c r="N863" t="s">
        <v>28</v>
      </c>
      <c r="O863">
        <v>1</v>
      </c>
      <c r="P863" t="s">
        <v>29</v>
      </c>
      <c r="Q863">
        <v>1</v>
      </c>
      <c r="R863" t="s">
        <v>30</v>
      </c>
      <c r="S863" t="s">
        <v>30</v>
      </c>
      <c r="T863" t="s">
        <v>31</v>
      </c>
    </row>
    <row r="864" spans="1:20" x14ac:dyDescent="0.35">
      <c r="A864" t="s">
        <v>922</v>
      </c>
      <c r="B864">
        <v>24</v>
      </c>
      <c r="C864" t="s">
        <v>33</v>
      </c>
      <c r="D864" t="s">
        <v>22</v>
      </c>
      <c r="E864">
        <v>268290</v>
      </c>
      <c r="F864" s="1" t="s">
        <v>1060</v>
      </c>
      <c r="G864" t="s">
        <v>59</v>
      </c>
      <c r="H864">
        <v>4</v>
      </c>
      <c r="I864" t="s">
        <v>35</v>
      </c>
      <c r="J864">
        <v>4</v>
      </c>
      <c r="K864" t="s">
        <v>26</v>
      </c>
      <c r="L864">
        <v>35</v>
      </c>
      <c r="M864" t="s">
        <v>27</v>
      </c>
      <c r="N864" t="s">
        <v>28</v>
      </c>
      <c r="O864">
        <v>1</v>
      </c>
      <c r="P864" t="s">
        <v>29</v>
      </c>
      <c r="Q864">
        <v>1</v>
      </c>
      <c r="R864" t="s">
        <v>30</v>
      </c>
      <c r="S864" t="s">
        <v>30</v>
      </c>
      <c r="T864" t="s">
        <v>31</v>
      </c>
    </row>
    <row r="865" spans="1:20" x14ac:dyDescent="0.35">
      <c r="A865" t="s">
        <v>923</v>
      </c>
      <c r="B865">
        <v>27</v>
      </c>
      <c r="C865" t="s">
        <v>21</v>
      </c>
      <c r="D865" t="s">
        <v>41</v>
      </c>
      <c r="E865">
        <v>497860</v>
      </c>
      <c r="F865" s="2" t="s">
        <v>1062</v>
      </c>
      <c r="G865" t="s">
        <v>59</v>
      </c>
      <c r="H865">
        <v>4</v>
      </c>
      <c r="I865" t="s">
        <v>25</v>
      </c>
      <c r="J865">
        <v>2</v>
      </c>
      <c r="K865" t="s">
        <v>26</v>
      </c>
      <c r="L865">
        <v>32</v>
      </c>
      <c r="M865" t="s">
        <v>86</v>
      </c>
      <c r="N865" t="s">
        <v>28</v>
      </c>
      <c r="O865">
        <v>2</v>
      </c>
      <c r="P865" t="s">
        <v>39</v>
      </c>
      <c r="Q865">
        <v>2</v>
      </c>
      <c r="R865" t="s">
        <v>30</v>
      </c>
      <c r="S865" t="s">
        <v>30</v>
      </c>
      <c r="T865" t="s">
        <v>31</v>
      </c>
    </row>
    <row r="866" spans="1:20" x14ac:dyDescent="0.35">
      <c r="A866" t="s">
        <v>924</v>
      </c>
      <c r="B866">
        <v>10</v>
      </c>
      <c r="C866" t="s">
        <v>33</v>
      </c>
      <c r="D866" t="s">
        <v>41</v>
      </c>
      <c r="E866">
        <v>243100</v>
      </c>
      <c r="F866" s="1" t="s">
        <v>1060</v>
      </c>
      <c r="G866" t="s">
        <v>34</v>
      </c>
      <c r="H866">
        <v>2</v>
      </c>
      <c r="I866" t="s">
        <v>25</v>
      </c>
      <c r="J866">
        <v>2</v>
      </c>
      <c r="K866" t="s">
        <v>26</v>
      </c>
      <c r="L866">
        <v>25</v>
      </c>
      <c r="M866" t="s">
        <v>69</v>
      </c>
      <c r="N866" t="s">
        <v>53</v>
      </c>
      <c r="O866">
        <v>1</v>
      </c>
      <c r="P866" t="s">
        <v>39</v>
      </c>
      <c r="Q866">
        <v>1</v>
      </c>
      <c r="R866" t="s">
        <v>27</v>
      </c>
      <c r="S866" t="s">
        <v>30</v>
      </c>
      <c r="T866" t="s">
        <v>31</v>
      </c>
    </row>
    <row r="867" spans="1:20" x14ac:dyDescent="0.35">
      <c r="A867" t="s">
        <v>925</v>
      </c>
      <c r="B867">
        <v>15</v>
      </c>
      <c r="C867" t="s">
        <v>33</v>
      </c>
      <c r="D867" t="s">
        <v>41</v>
      </c>
      <c r="E867">
        <v>244310</v>
      </c>
      <c r="F867" s="2" t="s">
        <v>1061</v>
      </c>
      <c r="G867" t="s">
        <v>34</v>
      </c>
      <c r="H867">
        <v>2</v>
      </c>
      <c r="I867" t="s">
        <v>35</v>
      </c>
      <c r="J867">
        <v>4</v>
      </c>
      <c r="K867" t="s">
        <v>52</v>
      </c>
      <c r="L867">
        <v>20</v>
      </c>
      <c r="M867" t="s">
        <v>27</v>
      </c>
      <c r="N867" t="s">
        <v>53</v>
      </c>
      <c r="O867">
        <v>1</v>
      </c>
      <c r="P867" t="s">
        <v>29</v>
      </c>
      <c r="Q867">
        <v>1</v>
      </c>
      <c r="R867" t="s">
        <v>27</v>
      </c>
      <c r="S867" t="s">
        <v>30</v>
      </c>
      <c r="T867" t="s">
        <v>31</v>
      </c>
    </row>
    <row r="868" spans="1:20" x14ac:dyDescent="0.35">
      <c r="A868" t="s">
        <v>926</v>
      </c>
      <c r="B868">
        <v>18</v>
      </c>
      <c r="C868" t="s">
        <v>33</v>
      </c>
      <c r="D868" t="s">
        <v>22</v>
      </c>
      <c r="E868">
        <v>262790</v>
      </c>
      <c r="F868" s="1" t="s">
        <v>1060</v>
      </c>
      <c r="G868" t="s">
        <v>59</v>
      </c>
      <c r="H868">
        <v>4</v>
      </c>
      <c r="I868" t="s">
        <v>35</v>
      </c>
      <c r="J868">
        <v>1</v>
      </c>
      <c r="K868" t="s">
        <v>52</v>
      </c>
      <c r="L868">
        <v>27</v>
      </c>
      <c r="M868" t="s">
        <v>86</v>
      </c>
      <c r="N868" t="s">
        <v>28</v>
      </c>
      <c r="O868">
        <v>1</v>
      </c>
      <c r="P868" t="s">
        <v>29</v>
      </c>
      <c r="Q868">
        <v>1</v>
      </c>
      <c r="R868" t="s">
        <v>27</v>
      </c>
      <c r="S868" t="s">
        <v>30</v>
      </c>
      <c r="T868" t="s">
        <v>31</v>
      </c>
    </row>
    <row r="869" spans="1:20" x14ac:dyDescent="0.35">
      <c r="A869" t="s">
        <v>927</v>
      </c>
      <c r="B869">
        <v>12</v>
      </c>
      <c r="C869" t="s">
        <v>21</v>
      </c>
      <c r="D869" t="s">
        <v>41</v>
      </c>
      <c r="E869">
        <v>366410</v>
      </c>
      <c r="F869" s="2" t="s">
        <v>1060</v>
      </c>
      <c r="G869" t="s">
        <v>24</v>
      </c>
      <c r="H869">
        <v>2</v>
      </c>
      <c r="I869" t="s">
        <v>25</v>
      </c>
      <c r="J869">
        <v>4</v>
      </c>
      <c r="K869" t="s">
        <v>42</v>
      </c>
      <c r="L869">
        <v>42</v>
      </c>
      <c r="M869" t="s">
        <v>86</v>
      </c>
      <c r="N869" t="s">
        <v>28</v>
      </c>
      <c r="O869">
        <v>1</v>
      </c>
      <c r="P869" t="s">
        <v>29</v>
      </c>
      <c r="Q869">
        <v>1</v>
      </c>
      <c r="R869" t="s">
        <v>27</v>
      </c>
      <c r="S869" t="s">
        <v>30</v>
      </c>
      <c r="T869" t="s">
        <v>31</v>
      </c>
    </row>
    <row r="870" spans="1:20" x14ac:dyDescent="0.35">
      <c r="A870" t="s">
        <v>928</v>
      </c>
      <c r="B870">
        <v>36</v>
      </c>
      <c r="C870" t="s">
        <v>33</v>
      </c>
      <c r="D870" t="s">
        <v>61</v>
      </c>
      <c r="E870">
        <v>814990</v>
      </c>
      <c r="F870" s="1" t="s">
        <v>23</v>
      </c>
      <c r="G870" t="s">
        <v>24</v>
      </c>
      <c r="H870">
        <v>3</v>
      </c>
      <c r="I870" t="s">
        <v>25</v>
      </c>
      <c r="J870">
        <v>2</v>
      </c>
      <c r="K870" t="s">
        <v>42</v>
      </c>
      <c r="L870">
        <v>37</v>
      </c>
      <c r="M870" t="s">
        <v>27</v>
      </c>
      <c r="N870" t="s">
        <v>28</v>
      </c>
      <c r="O870">
        <v>2</v>
      </c>
      <c r="P870" t="s">
        <v>29</v>
      </c>
      <c r="Q870">
        <v>1</v>
      </c>
      <c r="R870" t="s">
        <v>27</v>
      </c>
      <c r="S870" t="s">
        <v>30</v>
      </c>
      <c r="T870" t="s">
        <v>31</v>
      </c>
    </row>
    <row r="871" spans="1:20" x14ac:dyDescent="0.35">
      <c r="A871" t="s">
        <v>929</v>
      </c>
      <c r="B871">
        <v>12</v>
      </c>
      <c r="C871" t="s">
        <v>33</v>
      </c>
      <c r="D871" t="s">
        <v>41</v>
      </c>
      <c r="E871">
        <v>71720</v>
      </c>
      <c r="F871" s="2" t="s">
        <v>1060</v>
      </c>
      <c r="G871" t="s">
        <v>24</v>
      </c>
      <c r="H871">
        <v>4</v>
      </c>
      <c r="I871" t="s">
        <v>35</v>
      </c>
      <c r="J871">
        <v>4</v>
      </c>
      <c r="K871" t="s">
        <v>42</v>
      </c>
      <c r="L871">
        <v>24</v>
      </c>
      <c r="M871" t="s">
        <v>27</v>
      </c>
      <c r="N871" t="s">
        <v>53</v>
      </c>
      <c r="O871">
        <v>1</v>
      </c>
      <c r="P871" t="s">
        <v>29</v>
      </c>
      <c r="Q871">
        <v>1</v>
      </c>
      <c r="R871" t="s">
        <v>27</v>
      </c>
      <c r="S871" t="s">
        <v>30</v>
      </c>
      <c r="T871" t="s">
        <v>31</v>
      </c>
    </row>
    <row r="872" spans="1:20" x14ac:dyDescent="0.35">
      <c r="A872" t="s">
        <v>930</v>
      </c>
      <c r="B872">
        <v>36</v>
      </c>
      <c r="C872" t="s">
        <v>45</v>
      </c>
      <c r="D872" t="s">
        <v>41</v>
      </c>
      <c r="E872">
        <v>844580</v>
      </c>
      <c r="F872" s="1" t="s">
        <v>1061</v>
      </c>
      <c r="G872" t="s">
        <v>38</v>
      </c>
      <c r="H872">
        <v>2</v>
      </c>
      <c r="I872" t="s">
        <v>35</v>
      </c>
      <c r="J872">
        <v>4</v>
      </c>
      <c r="K872" t="s">
        <v>52</v>
      </c>
      <c r="L872">
        <v>40</v>
      </c>
      <c r="M872" t="s">
        <v>27</v>
      </c>
      <c r="N872" t="s">
        <v>28</v>
      </c>
      <c r="O872">
        <v>2</v>
      </c>
      <c r="P872" t="s">
        <v>29</v>
      </c>
      <c r="Q872">
        <v>1</v>
      </c>
      <c r="R872" t="s">
        <v>30</v>
      </c>
      <c r="S872" t="s">
        <v>30</v>
      </c>
      <c r="T872" t="s">
        <v>31</v>
      </c>
    </row>
    <row r="873" spans="1:20" x14ac:dyDescent="0.35">
      <c r="A873" t="s">
        <v>931</v>
      </c>
      <c r="B873">
        <v>6</v>
      </c>
      <c r="C873" t="s">
        <v>21</v>
      </c>
      <c r="D873" t="s">
        <v>46</v>
      </c>
      <c r="E873">
        <v>147730</v>
      </c>
      <c r="F873" s="2" t="s">
        <v>1060</v>
      </c>
      <c r="G873" t="s">
        <v>24</v>
      </c>
      <c r="H873">
        <v>1</v>
      </c>
      <c r="I873" t="s">
        <v>25</v>
      </c>
      <c r="J873">
        <v>4</v>
      </c>
      <c r="K873" t="s">
        <v>26</v>
      </c>
      <c r="L873">
        <v>46</v>
      </c>
      <c r="M873" t="s">
        <v>27</v>
      </c>
      <c r="N873" t="s">
        <v>28</v>
      </c>
      <c r="O873">
        <v>2</v>
      </c>
      <c r="P873" t="s">
        <v>29</v>
      </c>
      <c r="Q873">
        <v>2</v>
      </c>
      <c r="R873" t="s">
        <v>27</v>
      </c>
      <c r="S873" t="s">
        <v>75</v>
      </c>
      <c r="T873" t="s">
        <v>31</v>
      </c>
    </row>
    <row r="874" spans="1:20" x14ac:dyDescent="0.35">
      <c r="A874" t="s">
        <v>932</v>
      </c>
      <c r="B874">
        <v>24</v>
      </c>
      <c r="C874" t="s">
        <v>21</v>
      </c>
      <c r="D874" t="s">
        <v>61</v>
      </c>
      <c r="E874">
        <v>152020</v>
      </c>
      <c r="F874" s="1" t="s">
        <v>1063</v>
      </c>
      <c r="G874" t="s">
        <v>38</v>
      </c>
      <c r="H874">
        <v>4</v>
      </c>
      <c r="I874" t="s">
        <v>25</v>
      </c>
      <c r="J874">
        <v>1</v>
      </c>
      <c r="K874" t="s">
        <v>26</v>
      </c>
      <c r="L874">
        <v>26</v>
      </c>
      <c r="M874" t="s">
        <v>27</v>
      </c>
      <c r="N874" t="s">
        <v>28</v>
      </c>
      <c r="O874">
        <v>2</v>
      </c>
      <c r="P874" t="s">
        <v>29</v>
      </c>
      <c r="Q874">
        <v>1</v>
      </c>
      <c r="R874" t="s">
        <v>30</v>
      </c>
      <c r="S874" t="s">
        <v>30</v>
      </c>
      <c r="T874" t="s">
        <v>31</v>
      </c>
    </row>
    <row r="875" spans="1:20" x14ac:dyDescent="0.35">
      <c r="A875" t="s">
        <v>933</v>
      </c>
      <c r="B875">
        <v>15</v>
      </c>
      <c r="C875" t="s">
        <v>33</v>
      </c>
      <c r="D875" t="s">
        <v>94</v>
      </c>
      <c r="E875">
        <v>96140</v>
      </c>
      <c r="F875" s="2" t="s">
        <v>23</v>
      </c>
      <c r="G875" t="s">
        <v>59</v>
      </c>
      <c r="H875">
        <v>4</v>
      </c>
      <c r="I875" t="s">
        <v>35</v>
      </c>
      <c r="J875">
        <v>1</v>
      </c>
      <c r="K875" t="s">
        <v>26</v>
      </c>
      <c r="L875">
        <v>24</v>
      </c>
      <c r="M875" t="s">
        <v>27</v>
      </c>
      <c r="N875" t="s">
        <v>28</v>
      </c>
      <c r="O875">
        <v>1</v>
      </c>
      <c r="P875" t="s">
        <v>29</v>
      </c>
      <c r="Q875">
        <v>1</v>
      </c>
      <c r="R875" t="s">
        <v>27</v>
      </c>
      <c r="S875" t="s">
        <v>30</v>
      </c>
      <c r="T875" t="s">
        <v>31</v>
      </c>
    </row>
    <row r="876" spans="1:20" x14ac:dyDescent="0.35">
      <c r="A876" t="s">
        <v>934</v>
      </c>
      <c r="B876">
        <v>12</v>
      </c>
      <c r="C876" t="s">
        <v>33</v>
      </c>
      <c r="D876" t="s">
        <v>41</v>
      </c>
      <c r="E876">
        <v>394900</v>
      </c>
      <c r="F876" s="1" t="s">
        <v>1060</v>
      </c>
      <c r="G876" t="s">
        <v>34</v>
      </c>
      <c r="H876">
        <v>2</v>
      </c>
      <c r="I876" t="s">
        <v>25</v>
      </c>
      <c r="J876">
        <v>2</v>
      </c>
      <c r="K876" t="s">
        <v>42</v>
      </c>
      <c r="L876">
        <v>29</v>
      </c>
      <c r="M876" t="s">
        <v>27</v>
      </c>
      <c r="N876" t="s">
        <v>28</v>
      </c>
      <c r="O876">
        <v>1</v>
      </c>
      <c r="P876" t="s">
        <v>39</v>
      </c>
      <c r="Q876">
        <v>2</v>
      </c>
      <c r="R876" t="s">
        <v>27</v>
      </c>
      <c r="S876" t="s">
        <v>30</v>
      </c>
      <c r="T876" t="s">
        <v>31</v>
      </c>
    </row>
    <row r="877" spans="1:20" x14ac:dyDescent="0.35">
      <c r="A877" t="s">
        <v>935</v>
      </c>
      <c r="B877">
        <v>11</v>
      </c>
      <c r="C877" t="s">
        <v>21</v>
      </c>
      <c r="D877" t="s">
        <v>46</v>
      </c>
      <c r="E877">
        <v>145420</v>
      </c>
      <c r="F877" s="2" t="s">
        <v>1062</v>
      </c>
      <c r="G877" t="s">
        <v>34</v>
      </c>
      <c r="H877">
        <v>4</v>
      </c>
      <c r="I877" t="s">
        <v>35</v>
      </c>
      <c r="J877">
        <v>4</v>
      </c>
      <c r="K877" t="s">
        <v>52</v>
      </c>
      <c r="L877">
        <v>40</v>
      </c>
      <c r="M877" t="s">
        <v>27</v>
      </c>
      <c r="N877" t="s">
        <v>28</v>
      </c>
      <c r="O877">
        <v>2</v>
      </c>
      <c r="P877" t="s">
        <v>29</v>
      </c>
      <c r="Q877">
        <v>1</v>
      </c>
      <c r="R877" t="s">
        <v>27</v>
      </c>
      <c r="S877" t="s">
        <v>30</v>
      </c>
      <c r="T877" t="s">
        <v>31</v>
      </c>
    </row>
    <row r="878" spans="1:20" x14ac:dyDescent="0.35">
      <c r="A878" t="s">
        <v>936</v>
      </c>
      <c r="B878">
        <v>18</v>
      </c>
      <c r="C878" t="s">
        <v>81</v>
      </c>
      <c r="D878" t="s">
        <v>22</v>
      </c>
      <c r="E878">
        <v>213400</v>
      </c>
      <c r="F878" s="1" t="s">
        <v>1060</v>
      </c>
      <c r="G878" t="s">
        <v>59</v>
      </c>
      <c r="H878">
        <v>3</v>
      </c>
      <c r="I878" t="s">
        <v>25</v>
      </c>
      <c r="J878">
        <v>4</v>
      </c>
      <c r="K878" t="s">
        <v>47</v>
      </c>
      <c r="L878">
        <v>36</v>
      </c>
      <c r="M878" t="s">
        <v>69</v>
      </c>
      <c r="N878" t="s">
        <v>43</v>
      </c>
      <c r="O878">
        <v>1</v>
      </c>
      <c r="P878" t="s">
        <v>54</v>
      </c>
      <c r="Q878">
        <v>1</v>
      </c>
      <c r="R878" t="s">
        <v>30</v>
      </c>
      <c r="S878" t="s">
        <v>30</v>
      </c>
      <c r="T878" t="s">
        <v>31</v>
      </c>
    </row>
    <row r="879" spans="1:20" x14ac:dyDescent="0.35">
      <c r="A879" t="s">
        <v>937</v>
      </c>
      <c r="B879">
        <v>36</v>
      </c>
      <c r="C879" t="s">
        <v>33</v>
      </c>
      <c r="D879" t="s">
        <v>22</v>
      </c>
      <c r="E879">
        <v>395450</v>
      </c>
      <c r="F879" s="2" t="s">
        <v>1060</v>
      </c>
      <c r="G879" t="s">
        <v>24</v>
      </c>
      <c r="H879">
        <v>4</v>
      </c>
      <c r="I879" t="s">
        <v>25</v>
      </c>
      <c r="J879">
        <v>2</v>
      </c>
      <c r="K879" t="s">
        <v>52</v>
      </c>
      <c r="L879">
        <v>28</v>
      </c>
      <c r="M879" t="s">
        <v>27</v>
      </c>
      <c r="N879" t="s">
        <v>28</v>
      </c>
      <c r="O879">
        <v>1</v>
      </c>
      <c r="P879" t="s">
        <v>29</v>
      </c>
      <c r="Q879">
        <v>1</v>
      </c>
      <c r="R879" t="s">
        <v>27</v>
      </c>
      <c r="S879" t="s">
        <v>30</v>
      </c>
      <c r="T879" t="s">
        <v>31</v>
      </c>
    </row>
    <row r="880" spans="1:20" x14ac:dyDescent="0.35">
      <c r="A880" t="s">
        <v>938</v>
      </c>
      <c r="B880">
        <v>9</v>
      </c>
      <c r="C880" t="s">
        <v>33</v>
      </c>
      <c r="D880" t="s">
        <v>46</v>
      </c>
      <c r="E880">
        <v>156420</v>
      </c>
      <c r="F880" s="1" t="s">
        <v>1060</v>
      </c>
      <c r="G880" t="s">
        <v>59</v>
      </c>
      <c r="H880">
        <v>3</v>
      </c>
      <c r="I880" t="s">
        <v>25</v>
      </c>
      <c r="J880">
        <v>2</v>
      </c>
      <c r="K880" t="s">
        <v>47</v>
      </c>
      <c r="L880">
        <v>27</v>
      </c>
      <c r="M880" t="s">
        <v>27</v>
      </c>
      <c r="N880" t="s">
        <v>43</v>
      </c>
      <c r="O880">
        <v>1</v>
      </c>
      <c r="P880" t="s">
        <v>54</v>
      </c>
      <c r="Q880">
        <v>1</v>
      </c>
      <c r="R880" t="s">
        <v>30</v>
      </c>
      <c r="S880" t="s">
        <v>30</v>
      </c>
      <c r="T880" t="s">
        <v>31</v>
      </c>
    </row>
    <row r="881" spans="1:20" x14ac:dyDescent="0.35">
      <c r="A881" t="s">
        <v>939</v>
      </c>
      <c r="B881">
        <v>30</v>
      </c>
      <c r="C881" t="s">
        <v>21</v>
      </c>
      <c r="D881" t="s">
        <v>22</v>
      </c>
      <c r="E881">
        <v>741620</v>
      </c>
      <c r="F881" s="2" t="s">
        <v>23</v>
      </c>
      <c r="G881" t="s">
        <v>38</v>
      </c>
      <c r="H881">
        <v>2</v>
      </c>
      <c r="I881" t="s">
        <v>25</v>
      </c>
      <c r="J881">
        <v>3</v>
      </c>
      <c r="K881" t="s">
        <v>42</v>
      </c>
      <c r="L881">
        <v>36</v>
      </c>
      <c r="M881" t="s">
        <v>27</v>
      </c>
      <c r="N881" t="s">
        <v>28</v>
      </c>
      <c r="O881">
        <v>2</v>
      </c>
      <c r="P881" t="s">
        <v>29</v>
      </c>
      <c r="Q881">
        <v>1</v>
      </c>
      <c r="R881" t="s">
        <v>27</v>
      </c>
      <c r="S881" t="s">
        <v>30</v>
      </c>
      <c r="T881" t="s">
        <v>31</v>
      </c>
    </row>
    <row r="882" spans="1:20" x14ac:dyDescent="0.35">
      <c r="A882" t="s">
        <v>940</v>
      </c>
      <c r="B882">
        <v>24</v>
      </c>
      <c r="C882" t="s">
        <v>33</v>
      </c>
      <c r="D882" t="s">
        <v>51</v>
      </c>
      <c r="E882">
        <v>859540</v>
      </c>
      <c r="F882" s="1" t="s">
        <v>1060</v>
      </c>
      <c r="G882" t="s">
        <v>38</v>
      </c>
      <c r="H882">
        <v>3</v>
      </c>
      <c r="I882" t="s">
        <v>25</v>
      </c>
      <c r="J882">
        <v>3</v>
      </c>
      <c r="K882" t="s">
        <v>52</v>
      </c>
      <c r="L882">
        <v>38</v>
      </c>
      <c r="M882" t="s">
        <v>27</v>
      </c>
      <c r="N882" t="s">
        <v>28</v>
      </c>
      <c r="O882">
        <v>1</v>
      </c>
      <c r="P882" t="s">
        <v>54</v>
      </c>
      <c r="Q882">
        <v>1</v>
      </c>
      <c r="R882" t="s">
        <v>30</v>
      </c>
      <c r="S882" t="s">
        <v>30</v>
      </c>
      <c r="T882" t="s">
        <v>31</v>
      </c>
    </row>
    <row r="883" spans="1:20" x14ac:dyDescent="0.35">
      <c r="A883" t="s">
        <v>941</v>
      </c>
      <c r="B883">
        <v>24</v>
      </c>
      <c r="C883" t="s">
        <v>33</v>
      </c>
      <c r="D883" t="s">
        <v>51</v>
      </c>
      <c r="E883">
        <v>1020470</v>
      </c>
      <c r="F883" s="2" t="s">
        <v>23</v>
      </c>
      <c r="G883" t="s">
        <v>34</v>
      </c>
      <c r="H883">
        <v>2</v>
      </c>
      <c r="I883" t="s">
        <v>25</v>
      </c>
      <c r="J883">
        <v>4</v>
      </c>
      <c r="K883" t="s">
        <v>47</v>
      </c>
      <c r="L883">
        <v>48</v>
      </c>
      <c r="M883" t="s">
        <v>27</v>
      </c>
      <c r="N883" t="s">
        <v>43</v>
      </c>
      <c r="O883">
        <v>1</v>
      </c>
      <c r="P883" t="s">
        <v>29</v>
      </c>
      <c r="Q883">
        <v>1</v>
      </c>
      <c r="R883" t="s">
        <v>30</v>
      </c>
      <c r="S883" t="s">
        <v>30</v>
      </c>
      <c r="T883" t="s">
        <v>31</v>
      </c>
    </row>
    <row r="884" spans="1:20" x14ac:dyDescent="0.35">
      <c r="A884" t="s">
        <v>942</v>
      </c>
      <c r="B884">
        <v>30</v>
      </c>
      <c r="C884" t="s">
        <v>21</v>
      </c>
      <c r="D884" t="s">
        <v>46</v>
      </c>
      <c r="E884">
        <v>239910</v>
      </c>
      <c r="F884" s="1" t="s">
        <v>23</v>
      </c>
      <c r="G884" t="s">
        <v>24</v>
      </c>
      <c r="H884">
        <v>4</v>
      </c>
      <c r="I884" t="s">
        <v>25</v>
      </c>
      <c r="J884">
        <v>4</v>
      </c>
      <c r="K884" t="s">
        <v>26</v>
      </c>
      <c r="L884">
        <v>36</v>
      </c>
      <c r="M884" t="s">
        <v>27</v>
      </c>
      <c r="N884" t="s">
        <v>28</v>
      </c>
      <c r="O884">
        <v>2</v>
      </c>
      <c r="P884" t="s">
        <v>29</v>
      </c>
      <c r="Q884">
        <v>1</v>
      </c>
      <c r="R884" t="s">
        <v>27</v>
      </c>
      <c r="S884" t="s">
        <v>30</v>
      </c>
      <c r="T884" t="s">
        <v>31</v>
      </c>
    </row>
    <row r="885" spans="1:20" x14ac:dyDescent="0.35">
      <c r="A885" t="s">
        <v>943</v>
      </c>
      <c r="B885">
        <v>18</v>
      </c>
      <c r="C885" t="s">
        <v>21</v>
      </c>
      <c r="D885" t="s">
        <v>22</v>
      </c>
      <c r="E885">
        <v>120780</v>
      </c>
      <c r="F885" s="2" t="s">
        <v>1060</v>
      </c>
      <c r="G885" t="s">
        <v>57</v>
      </c>
      <c r="H885">
        <v>4</v>
      </c>
      <c r="I885" t="s">
        <v>35</v>
      </c>
      <c r="J885">
        <v>4</v>
      </c>
      <c r="K885" t="s">
        <v>52</v>
      </c>
      <c r="L885">
        <v>65</v>
      </c>
      <c r="M885" t="s">
        <v>27</v>
      </c>
      <c r="N885" t="s">
        <v>28</v>
      </c>
      <c r="O885">
        <v>2</v>
      </c>
      <c r="P885" t="s">
        <v>105</v>
      </c>
      <c r="Q885">
        <v>1</v>
      </c>
      <c r="R885" t="s">
        <v>27</v>
      </c>
      <c r="S885" t="s">
        <v>30</v>
      </c>
      <c r="T885" t="s">
        <v>31</v>
      </c>
    </row>
    <row r="886" spans="1:20" x14ac:dyDescent="0.35">
      <c r="A886" t="s">
        <v>944</v>
      </c>
      <c r="B886">
        <v>24</v>
      </c>
      <c r="C886" t="s">
        <v>33</v>
      </c>
      <c r="D886" t="s">
        <v>41</v>
      </c>
      <c r="E886">
        <v>446270</v>
      </c>
      <c r="F886" s="1" t="s">
        <v>1060</v>
      </c>
      <c r="G886" t="s">
        <v>38</v>
      </c>
      <c r="H886">
        <v>3</v>
      </c>
      <c r="I886" t="s">
        <v>25</v>
      </c>
      <c r="J886">
        <v>3</v>
      </c>
      <c r="K886" t="s">
        <v>52</v>
      </c>
      <c r="L886">
        <v>43</v>
      </c>
      <c r="M886" t="s">
        <v>27</v>
      </c>
      <c r="N886" t="s">
        <v>28</v>
      </c>
      <c r="O886">
        <v>1</v>
      </c>
      <c r="P886" t="s">
        <v>29</v>
      </c>
      <c r="Q886">
        <v>1</v>
      </c>
      <c r="R886" t="s">
        <v>30</v>
      </c>
      <c r="S886" t="s">
        <v>30</v>
      </c>
      <c r="T886" t="s">
        <v>31</v>
      </c>
    </row>
    <row r="887" spans="1:20" x14ac:dyDescent="0.35">
      <c r="A887" t="s">
        <v>945</v>
      </c>
      <c r="B887">
        <v>12</v>
      </c>
      <c r="C887" t="s">
        <v>33</v>
      </c>
      <c r="D887" t="s">
        <v>37</v>
      </c>
      <c r="E887">
        <v>87450</v>
      </c>
      <c r="F887" s="2" t="s">
        <v>1060</v>
      </c>
      <c r="G887" t="s">
        <v>59</v>
      </c>
      <c r="H887">
        <v>4</v>
      </c>
      <c r="I887" t="s">
        <v>35</v>
      </c>
      <c r="J887">
        <v>4</v>
      </c>
      <c r="K887" t="s">
        <v>42</v>
      </c>
      <c r="L887">
        <v>53</v>
      </c>
      <c r="M887" t="s">
        <v>27</v>
      </c>
      <c r="N887" t="s">
        <v>28</v>
      </c>
      <c r="O887">
        <v>1</v>
      </c>
      <c r="P887" t="s">
        <v>29</v>
      </c>
      <c r="Q887">
        <v>1</v>
      </c>
      <c r="R887" t="s">
        <v>27</v>
      </c>
      <c r="S887" t="s">
        <v>30</v>
      </c>
      <c r="T887" t="s">
        <v>31</v>
      </c>
    </row>
    <row r="888" spans="1:20" x14ac:dyDescent="0.35">
      <c r="A888" t="s">
        <v>946</v>
      </c>
      <c r="B888">
        <v>24</v>
      </c>
      <c r="C888" t="s">
        <v>21</v>
      </c>
      <c r="D888" t="s">
        <v>61</v>
      </c>
      <c r="E888">
        <v>310750</v>
      </c>
      <c r="F888" s="1" t="s">
        <v>23</v>
      </c>
      <c r="G888" t="s">
        <v>38</v>
      </c>
      <c r="H888">
        <v>4</v>
      </c>
      <c r="I888" t="s">
        <v>25</v>
      </c>
      <c r="J888">
        <v>3</v>
      </c>
      <c r="K888" t="s">
        <v>47</v>
      </c>
      <c r="L888">
        <v>34</v>
      </c>
      <c r="M888" t="s">
        <v>27</v>
      </c>
      <c r="N888" t="s">
        <v>28</v>
      </c>
      <c r="O888">
        <v>2</v>
      </c>
      <c r="P888" t="s">
        <v>29</v>
      </c>
      <c r="Q888">
        <v>2</v>
      </c>
      <c r="R888" t="s">
        <v>30</v>
      </c>
      <c r="S888" t="s">
        <v>30</v>
      </c>
      <c r="T888" t="s">
        <v>31</v>
      </c>
    </row>
    <row r="889" spans="1:20" x14ac:dyDescent="0.35">
      <c r="A889" t="s">
        <v>947</v>
      </c>
      <c r="B889">
        <v>48</v>
      </c>
      <c r="C889" t="s">
        <v>33</v>
      </c>
      <c r="D889" t="s">
        <v>61</v>
      </c>
      <c r="E889">
        <v>1723920</v>
      </c>
      <c r="F889" s="2" t="s">
        <v>1060</v>
      </c>
      <c r="G889" t="s">
        <v>34</v>
      </c>
      <c r="H889">
        <v>2</v>
      </c>
      <c r="I889" t="s">
        <v>25</v>
      </c>
      <c r="J889">
        <v>2</v>
      </c>
      <c r="K889" t="s">
        <v>52</v>
      </c>
      <c r="L889">
        <v>23</v>
      </c>
      <c r="M889" t="s">
        <v>27</v>
      </c>
      <c r="N889" t="s">
        <v>28</v>
      </c>
      <c r="O889">
        <v>1</v>
      </c>
      <c r="P889" t="s">
        <v>29</v>
      </c>
      <c r="Q889">
        <v>1</v>
      </c>
      <c r="R889" t="s">
        <v>30</v>
      </c>
      <c r="S889" t="s">
        <v>30</v>
      </c>
      <c r="T889" t="s">
        <v>31</v>
      </c>
    </row>
    <row r="890" spans="1:20" x14ac:dyDescent="0.35">
      <c r="A890" t="s">
        <v>948</v>
      </c>
      <c r="B890">
        <v>36</v>
      </c>
      <c r="C890" t="s">
        <v>21</v>
      </c>
      <c r="D890" t="s">
        <v>46</v>
      </c>
      <c r="E890">
        <v>727540</v>
      </c>
      <c r="F890" s="1" t="s">
        <v>1060</v>
      </c>
      <c r="G890" t="s">
        <v>24</v>
      </c>
      <c r="H890">
        <v>4</v>
      </c>
      <c r="I890" t="s">
        <v>25</v>
      </c>
      <c r="J890">
        <v>4</v>
      </c>
      <c r="K890" t="s">
        <v>52</v>
      </c>
      <c r="L890">
        <v>34</v>
      </c>
      <c r="M890" t="s">
        <v>27</v>
      </c>
      <c r="N890" t="s">
        <v>28</v>
      </c>
      <c r="O890">
        <v>2</v>
      </c>
      <c r="P890" t="s">
        <v>54</v>
      </c>
      <c r="Q890">
        <v>1</v>
      </c>
      <c r="R890" t="s">
        <v>30</v>
      </c>
      <c r="S890" t="s">
        <v>30</v>
      </c>
      <c r="T890" t="s">
        <v>31</v>
      </c>
    </row>
    <row r="891" spans="1:20" x14ac:dyDescent="0.35">
      <c r="A891" t="s">
        <v>949</v>
      </c>
      <c r="B891">
        <v>28</v>
      </c>
      <c r="C891" t="s">
        <v>81</v>
      </c>
      <c r="D891" t="s">
        <v>51</v>
      </c>
      <c r="E891">
        <v>860640</v>
      </c>
      <c r="F891" s="2" t="s">
        <v>23</v>
      </c>
      <c r="G891" t="s">
        <v>59</v>
      </c>
      <c r="H891">
        <v>3</v>
      </c>
      <c r="I891" t="s">
        <v>25</v>
      </c>
      <c r="J891">
        <v>4</v>
      </c>
      <c r="K891" t="s">
        <v>26</v>
      </c>
      <c r="L891">
        <v>40</v>
      </c>
      <c r="M891" t="s">
        <v>69</v>
      </c>
      <c r="N891" t="s">
        <v>53</v>
      </c>
      <c r="O891">
        <v>2</v>
      </c>
      <c r="P891" t="s">
        <v>29</v>
      </c>
      <c r="Q891">
        <v>2</v>
      </c>
      <c r="R891" t="s">
        <v>30</v>
      </c>
      <c r="S891" t="s">
        <v>30</v>
      </c>
      <c r="T891" t="s">
        <v>31</v>
      </c>
    </row>
    <row r="892" spans="1:20" x14ac:dyDescent="0.35">
      <c r="A892" t="s">
        <v>950</v>
      </c>
      <c r="B892">
        <v>27</v>
      </c>
      <c r="C892" t="s">
        <v>21</v>
      </c>
      <c r="D892" t="s">
        <v>61</v>
      </c>
      <c r="E892">
        <v>268620</v>
      </c>
      <c r="F892" s="1" t="s">
        <v>1060</v>
      </c>
      <c r="G892" t="s">
        <v>24</v>
      </c>
      <c r="H892">
        <v>4</v>
      </c>
      <c r="I892" t="s">
        <v>25</v>
      </c>
      <c r="J892">
        <v>4</v>
      </c>
      <c r="K892" t="s">
        <v>52</v>
      </c>
      <c r="L892">
        <v>43</v>
      </c>
      <c r="M892" t="s">
        <v>86</v>
      </c>
      <c r="N892" t="s">
        <v>28</v>
      </c>
      <c r="O892">
        <v>4</v>
      </c>
      <c r="P892" t="s">
        <v>54</v>
      </c>
      <c r="Q892">
        <v>2</v>
      </c>
      <c r="R892" t="s">
        <v>30</v>
      </c>
      <c r="S892" t="s">
        <v>30</v>
      </c>
      <c r="T892" t="s">
        <v>31</v>
      </c>
    </row>
    <row r="893" spans="1:20" x14ac:dyDescent="0.35">
      <c r="A893" t="s">
        <v>951</v>
      </c>
      <c r="B893">
        <v>15</v>
      </c>
      <c r="C893" t="s">
        <v>21</v>
      </c>
      <c r="D893" t="s">
        <v>22</v>
      </c>
      <c r="E893">
        <v>201190</v>
      </c>
      <c r="F893" s="2" t="s">
        <v>1060</v>
      </c>
      <c r="G893" t="s">
        <v>24</v>
      </c>
      <c r="H893">
        <v>4</v>
      </c>
      <c r="I893" t="s">
        <v>25</v>
      </c>
      <c r="J893">
        <v>4</v>
      </c>
      <c r="K893" t="s">
        <v>52</v>
      </c>
      <c r="L893">
        <v>46</v>
      </c>
      <c r="M893" t="s">
        <v>27</v>
      </c>
      <c r="N893" t="s">
        <v>28</v>
      </c>
      <c r="O893">
        <v>2</v>
      </c>
      <c r="P893" t="s">
        <v>29</v>
      </c>
      <c r="Q893">
        <v>1</v>
      </c>
      <c r="R893" t="s">
        <v>30</v>
      </c>
      <c r="S893" t="s">
        <v>30</v>
      </c>
      <c r="T893" t="s">
        <v>31</v>
      </c>
    </row>
    <row r="894" spans="1:20" x14ac:dyDescent="0.35">
      <c r="A894" t="s">
        <v>952</v>
      </c>
      <c r="B894">
        <v>12</v>
      </c>
      <c r="C894" t="s">
        <v>21</v>
      </c>
      <c r="D894" t="s">
        <v>46</v>
      </c>
      <c r="E894">
        <v>238810</v>
      </c>
      <c r="F894" s="1" t="s">
        <v>1060</v>
      </c>
      <c r="G894" t="s">
        <v>34</v>
      </c>
      <c r="H894">
        <v>4</v>
      </c>
      <c r="I894" t="s">
        <v>25</v>
      </c>
      <c r="J894">
        <v>4</v>
      </c>
      <c r="K894" t="s">
        <v>42</v>
      </c>
      <c r="L894">
        <v>38</v>
      </c>
      <c r="M894" t="s">
        <v>69</v>
      </c>
      <c r="N894" t="s">
        <v>28</v>
      </c>
      <c r="O894">
        <v>2</v>
      </c>
      <c r="P894" t="s">
        <v>39</v>
      </c>
      <c r="Q894">
        <v>1</v>
      </c>
      <c r="R894" t="s">
        <v>27</v>
      </c>
      <c r="S894" t="s">
        <v>75</v>
      </c>
      <c r="T894" t="s">
        <v>31</v>
      </c>
    </row>
    <row r="895" spans="1:20" x14ac:dyDescent="0.35">
      <c r="A895" t="s">
        <v>953</v>
      </c>
      <c r="B895">
        <v>36</v>
      </c>
      <c r="C895" t="s">
        <v>21</v>
      </c>
      <c r="D895" t="s">
        <v>51</v>
      </c>
      <c r="E895">
        <v>638000</v>
      </c>
      <c r="F895" s="2" t="s">
        <v>1060</v>
      </c>
      <c r="G895" t="s">
        <v>34</v>
      </c>
      <c r="H895">
        <v>3</v>
      </c>
      <c r="I895" t="s">
        <v>25</v>
      </c>
      <c r="J895">
        <v>4</v>
      </c>
      <c r="K895" t="s">
        <v>52</v>
      </c>
      <c r="L895">
        <v>34</v>
      </c>
      <c r="M895" t="s">
        <v>27</v>
      </c>
      <c r="N895" t="s">
        <v>28</v>
      </c>
      <c r="O895">
        <v>2</v>
      </c>
      <c r="P895" t="s">
        <v>29</v>
      </c>
      <c r="Q895">
        <v>1</v>
      </c>
      <c r="R895" t="s">
        <v>30</v>
      </c>
      <c r="S895" t="s">
        <v>30</v>
      </c>
      <c r="T895" t="s">
        <v>31</v>
      </c>
    </row>
    <row r="896" spans="1:20" x14ac:dyDescent="0.35">
      <c r="A896" t="s">
        <v>954</v>
      </c>
      <c r="B896">
        <v>18</v>
      </c>
      <c r="C896" t="s">
        <v>21</v>
      </c>
      <c r="D896" t="s">
        <v>22</v>
      </c>
      <c r="E896">
        <v>128590</v>
      </c>
      <c r="F896" s="1" t="s">
        <v>23</v>
      </c>
      <c r="G896" t="s">
        <v>34</v>
      </c>
      <c r="H896">
        <v>4</v>
      </c>
      <c r="I896" t="s">
        <v>25</v>
      </c>
      <c r="J896">
        <v>3</v>
      </c>
      <c r="K896" t="s">
        <v>42</v>
      </c>
      <c r="L896">
        <v>29</v>
      </c>
      <c r="M896" t="s">
        <v>27</v>
      </c>
      <c r="N896" t="s">
        <v>28</v>
      </c>
      <c r="O896">
        <v>2</v>
      </c>
      <c r="P896" t="s">
        <v>29</v>
      </c>
      <c r="Q896">
        <v>1</v>
      </c>
      <c r="R896" t="s">
        <v>30</v>
      </c>
      <c r="S896" t="s">
        <v>30</v>
      </c>
      <c r="T896" t="s">
        <v>31</v>
      </c>
    </row>
    <row r="897" spans="1:20" x14ac:dyDescent="0.35">
      <c r="A897" t="s">
        <v>955</v>
      </c>
      <c r="B897">
        <v>36</v>
      </c>
      <c r="C897" t="s">
        <v>45</v>
      </c>
      <c r="D897" t="s">
        <v>51</v>
      </c>
      <c r="E897">
        <v>984170</v>
      </c>
      <c r="F897" s="2" t="s">
        <v>23</v>
      </c>
      <c r="G897" t="s">
        <v>38</v>
      </c>
      <c r="H897">
        <v>3</v>
      </c>
      <c r="I897" t="s">
        <v>25</v>
      </c>
      <c r="J897">
        <v>2</v>
      </c>
      <c r="K897" t="s">
        <v>52</v>
      </c>
      <c r="L897">
        <v>31</v>
      </c>
      <c r="M897" t="s">
        <v>86</v>
      </c>
      <c r="N897" t="s">
        <v>28</v>
      </c>
      <c r="O897">
        <v>1</v>
      </c>
      <c r="P897" t="s">
        <v>54</v>
      </c>
      <c r="Q897">
        <v>2</v>
      </c>
      <c r="R897" t="s">
        <v>30</v>
      </c>
      <c r="S897" t="s">
        <v>30</v>
      </c>
      <c r="T897" t="s">
        <v>31</v>
      </c>
    </row>
    <row r="898" spans="1:20" x14ac:dyDescent="0.35">
      <c r="A898" t="s">
        <v>956</v>
      </c>
      <c r="B898">
        <v>21</v>
      </c>
      <c r="C898" t="s">
        <v>33</v>
      </c>
      <c r="D898" t="s">
        <v>22</v>
      </c>
      <c r="E898">
        <v>286660</v>
      </c>
      <c r="F898" s="1" t="s">
        <v>1060</v>
      </c>
      <c r="G898" t="s">
        <v>59</v>
      </c>
      <c r="H898">
        <v>4</v>
      </c>
      <c r="I898" t="s">
        <v>35</v>
      </c>
      <c r="J898">
        <v>4</v>
      </c>
      <c r="K898" t="s">
        <v>42</v>
      </c>
      <c r="L898">
        <v>28</v>
      </c>
      <c r="M898" t="s">
        <v>27</v>
      </c>
      <c r="N898" t="s">
        <v>53</v>
      </c>
      <c r="O898">
        <v>1</v>
      </c>
      <c r="P898" t="s">
        <v>54</v>
      </c>
      <c r="Q898">
        <v>1</v>
      </c>
      <c r="R898" t="s">
        <v>30</v>
      </c>
      <c r="S898" t="s">
        <v>30</v>
      </c>
      <c r="T898" t="s">
        <v>31</v>
      </c>
    </row>
    <row r="899" spans="1:20" x14ac:dyDescent="0.35">
      <c r="A899" t="s">
        <v>957</v>
      </c>
      <c r="B899">
        <v>12</v>
      </c>
      <c r="C899" t="s">
        <v>21</v>
      </c>
      <c r="D899" t="s">
        <v>41</v>
      </c>
      <c r="E899">
        <v>175120</v>
      </c>
      <c r="F899" s="2" t="s">
        <v>1062</v>
      </c>
      <c r="G899" t="s">
        <v>38</v>
      </c>
      <c r="H899">
        <v>3</v>
      </c>
      <c r="I899" t="s">
        <v>35</v>
      </c>
      <c r="J899">
        <v>2</v>
      </c>
      <c r="K899" t="s">
        <v>42</v>
      </c>
      <c r="L899">
        <v>35</v>
      </c>
      <c r="M899" t="s">
        <v>27</v>
      </c>
      <c r="N899" t="s">
        <v>28</v>
      </c>
      <c r="O899">
        <v>1</v>
      </c>
      <c r="P899" t="s">
        <v>29</v>
      </c>
      <c r="Q899">
        <v>1</v>
      </c>
      <c r="R899" t="s">
        <v>27</v>
      </c>
      <c r="S899" t="s">
        <v>75</v>
      </c>
      <c r="T899" t="s">
        <v>31</v>
      </c>
    </row>
    <row r="900" spans="1:20" x14ac:dyDescent="0.35">
      <c r="A900" t="s">
        <v>958</v>
      </c>
      <c r="B900">
        <v>15</v>
      </c>
      <c r="C900" t="s">
        <v>33</v>
      </c>
      <c r="D900" t="s">
        <v>41</v>
      </c>
      <c r="E900">
        <v>240460</v>
      </c>
      <c r="F900" s="1" t="s">
        <v>23</v>
      </c>
      <c r="G900" t="s">
        <v>38</v>
      </c>
      <c r="H900">
        <v>1</v>
      </c>
      <c r="I900" t="s">
        <v>35</v>
      </c>
      <c r="J900">
        <v>4</v>
      </c>
      <c r="K900" t="s">
        <v>26</v>
      </c>
      <c r="L900">
        <v>33</v>
      </c>
      <c r="M900" t="s">
        <v>69</v>
      </c>
      <c r="N900" t="s">
        <v>53</v>
      </c>
      <c r="O900">
        <v>1</v>
      </c>
      <c r="P900" t="s">
        <v>39</v>
      </c>
      <c r="Q900">
        <v>1</v>
      </c>
      <c r="R900" t="s">
        <v>27</v>
      </c>
      <c r="S900" t="s">
        <v>30</v>
      </c>
      <c r="T900" t="s">
        <v>31</v>
      </c>
    </row>
    <row r="901" spans="1:20" x14ac:dyDescent="0.35">
      <c r="A901" t="s">
        <v>959</v>
      </c>
      <c r="B901">
        <v>18</v>
      </c>
      <c r="C901" t="s">
        <v>33</v>
      </c>
      <c r="D901" t="s">
        <v>41</v>
      </c>
      <c r="E901">
        <v>456830</v>
      </c>
      <c r="F901" s="2" t="s">
        <v>1060</v>
      </c>
      <c r="G901" t="s">
        <v>34</v>
      </c>
      <c r="H901">
        <v>2</v>
      </c>
      <c r="I901" t="s">
        <v>25</v>
      </c>
      <c r="J901">
        <v>3</v>
      </c>
      <c r="K901" t="s">
        <v>52</v>
      </c>
      <c r="L901">
        <v>42</v>
      </c>
      <c r="M901" t="s">
        <v>27</v>
      </c>
      <c r="N901" t="s">
        <v>28</v>
      </c>
      <c r="O901">
        <v>1</v>
      </c>
      <c r="P901" t="s">
        <v>29</v>
      </c>
      <c r="Q901">
        <v>1</v>
      </c>
      <c r="R901" t="s">
        <v>27</v>
      </c>
      <c r="S901" t="s">
        <v>30</v>
      </c>
      <c r="T901" t="s">
        <v>31</v>
      </c>
    </row>
    <row r="902" spans="1:20" x14ac:dyDescent="0.35">
      <c r="A902" t="s">
        <v>960</v>
      </c>
      <c r="B902">
        <v>16</v>
      </c>
      <c r="C902" t="s">
        <v>21</v>
      </c>
      <c r="D902" t="s">
        <v>46</v>
      </c>
      <c r="E902">
        <v>288750</v>
      </c>
      <c r="F902" s="1" t="s">
        <v>1060</v>
      </c>
      <c r="G902" t="s">
        <v>24</v>
      </c>
      <c r="H902">
        <v>2</v>
      </c>
      <c r="I902" t="s">
        <v>25</v>
      </c>
      <c r="J902">
        <v>4</v>
      </c>
      <c r="K902" t="s">
        <v>42</v>
      </c>
      <c r="L902">
        <v>43</v>
      </c>
      <c r="M902" t="s">
        <v>69</v>
      </c>
      <c r="N902" t="s">
        <v>53</v>
      </c>
      <c r="O902">
        <v>1</v>
      </c>
      <c r="P902" t="s">
        <v>29</v>
      </c>
      <c r="Q902">
        <v>1</v>
      </c>
      <c r="R902" t="s">
        <v>30</v>
      </c>
      <c r="S902" t="s">
        <v>30</v>
      </c>
      <c r="T902" t="s">
        <v>31</v>
      </c>
    </row>
    <row r="903" spans="1:20" x14ac:dyDescent="0.35">
      <c r="A903" t="s">
        <v>961</v>
      </c>
      <c r="B903">
        <v>20</v>
      </c>
      <c r="C903" t="s">
        <v>21</v>
      </c>
      <c r="D903" t="s">
        <v>46</v>
      </c>
      <c r="E903">
        <v>383350</v>
      </c>
      <c r="F903" s="2" t="s">
        <v>23</v>
      </c>
      <c r="G903" t="s">
        <v>59</v>
      </c>
      <c r="H903">
        <v>2</v>
      </c>
      <c r="I903" t="s">
        <v>25</v>
      </c>
      <c r="J903">
        <v>4</v>
      </c>
      <c r="K903" t="s">
        <v>26</v>
      </c>
      <c r="L903">
        <v>44</v>
      </c>
      <c r="M903" t="s">
        <v>27</v>
      </c>
      <c r="N903" t="s">
        <v>28</v>
      </c>
      <c r="O903">
        <v>2</v>
      </c>
      <c r="P903" t="s">
        <v>29</v>
      </c>
      <c r="Q903">
        <v>1</v>
      </c>
      <c r="R903" t="s">
        <v>30</v>
      </c>
      <c r="S903" t="s">
        <v>30</v>
      </c>
      <c r="T903" t="s">
        <v>31</v>
      </c>
    </row>
    <row r="904" spans="1:20" x14ac:dyDescent="0.35">
      <c r="A904" t="s">
        <v>962</v>
      </c>
      <c r="B904">
        <v>36</v>
      </c>
      <c r="C904" t="s">
        <v>21</v>
      </c>
      <c r="D904" t="s">
        <v>51</v>
      </c>
      <c r="E904">
        <v>1152470</v>
      </c>
      <c r="F904" s="1" t="s">
        <v>23</v>
      </c>
      <c r="G904" t="s">
        <v>24</v>
      </c>
      <c r="H904">
        <v>2</v>
      </c>
      <c r="I904" t="s">
        <v>25</v>
      </c>
      <c r="J904">
        <v>4</v>
      </c>
      <c r="K904" t="s">
        <v>47</v>
      </c>
      <c r="L904">
        <v>42</v>
      </c>
      <c r="M904" t="s">
        <v>27</v>
      </c>
      <c r="N904" t="s">
        <v>43</v>
      </c>
      <c r="O904">
        <v>2</v>
      </c>
      <c r="P904" t="s">
        <v>29</v>
      </c>
      <c r="Q904">
        <v>1</v>
      </c>
      <c r="R904" t="s">
        <v>27</v>
      </c>
      <c r="S904" t="s">
        <v>30</v>
      </c>
      <c r="T904" t="s">
        <v>31</v>
      </c>
    </row>
    <row r="905" spans="1:20" x14ac:dyDescent="0.35">
      <c r="A905" t="s">
        <v>963</v>
      </c>
      <c r="B905">
        <v>15</v>
      </c>
      <c r="C905" t="s">
        <v>33</v>
      </c>
      <c r="D905" t="s">
        <v>22</v>
      </c>
      <c r="E905">
        <v>152460</v>
      </c>
      <c r="F905" s="2" t="s">
        <v>23</v>
      </c>
      <c r="G905" t="s">
        <v>34</v>
      </c>
      <c r="H905">
        <v>4</v>
      </c>
      <c r="I905" t="s">
        <v>25</v>
      </c>
      <c r="J905">
        <v>2</v>
      </c>
      <c r="K905" t="s">
        <v>26</v>
      </c>
      <c r="L905">
        <v>40</v>
      </c>
      <c r="M905" t="s">
        <v>27</v>
      </c>
      <c r="N905" t="s">
        <v>53</v>
      </c>
      <c r="O905">
        <v>1</v>
      </c>
      <c r="P905" t="s">
        <v>29</v>
      </c>
      <c r="Q905">
        <v>1</v>
      </c>
      <c r="R905" t="s">
        <v>30</v>
      </c>
      <c r="S905" t="s">
        <v>30</v>
      </c>
      <c r="T905" t="s">
        <v>31</v>
      </c>
    </row>
    <row r="906" spans="1:20" x14ac:dyDescent="0.35">
      <c r="A906" t="s">
        <v>964</v>
      </c>
      <c r="B906">
        <v>24</v>
      </c>
      <c r="C906" t="s">
        <v>33</v>
      </c>
      <c r="D906" t="s">
        <v>22</v>
      </c>
      <c r="E906">
        <v>140580</v>
      </c>
      <c r="F906" s="1" t="s">
        <v>1060</v>
      </c>
      <c r="G906" t="s">
        <v>24</v>
      </c>
      <c r="H906">
        <v>4</v>
      </c>
      <c r="I906" t="s">
        <v>25</v>
      </c>
      <c r="J906">
        <v>1</v>
      </c>
      <c r="K906" t="s">
        <v>26</v>
      </c>
      <c r="L906">
        <v>36</v>
      </c>
      <c r="M906" t="s">
        <v>27</v>
      </c>
      <c r="N906" t="s">
        <v>28</v>
      </c>
      <c r="O906">
        <v>1</v>
      </c>
      <c r="P906" t="s">
        <v>54</v>
      </c>
      <c r="Q906">
        <v>1</v>
      </c>
      <c r="R906" t="s">
        <v>30</v>
      </c>
      <c r="S906" t="s">
        <v>30</v>
      </c>
      <c r="T906" t="s">
        <v>31</v>
      </c>
    </row>
    <row r="907" spans="1:20" x14ac:dyDescent="0.35">
      <c r="A907" t="s">
        <v>965</v>
      </c>
      <c r="B907">
        <v>12</v>
      </c>
      <c r="C907" t="s">
        <v>33</v>
      </c>
      <c r="D907" t="s">
        <v>22</v>
      </c>
      <c r="E907">
        <v>121770</v>
      </c>
      <c r="F907" s="2" t="s">
        <v>1060</v>
      </c>
      <c r="G907" t="s">
        <v>34</v>
      </c>
      <c r="H907">
        <v>2</v>
      </c>
      <c r="I907" t="s">
        <v>25</v>
      </c>
      <c r="J907">
        <v>2</v>
      </c>
      <c r="K907" t="s">
        <v>26</v>
      </c>
      <c r="L907">
        <v>20</v>
      </c>
      <c r="M907" t="s">
        <v>27</v>
      </c>
      <c r="N907" t="s">
        <v>53</v>
      </c>
      <c r="O907">
        <v>1</v>
      </c>
      <c r="P907" t="s">
        <v>54</v>
      </c>
      <c r="Q907">
        <v>2</v>
      </c>
      <c r="R907" t="s">
        <v>30</v>
      </c>
      <c r="S907" t="s">
        <v>30</v>
      </c>
      <c r="T907" t="s">
        <v>31</v>
      </c>
    </row>
    <row r="908" spans="1:20" x14ac:dyDescent="0.35">
      <c r="A908" t="s">
        <v>966</v>
      </c>
      <c r="B908">
        <v>21</v>
      </c>
      <c r="C908" t="s">
        <v>33</v>
      </c>
      <c r="D908" t="s">
        <v>46</v>
      </c>
      <c r="E908">
        <v>413930</v>
      </c>
      <c r="F908" s="1" t="s">
        <v>23</v>
      </c>
      <c r="G908" t="s">
        <v>38</v>
      </c>
      <c r="H908">
        <v>2</v>
      </c>
      <c r="I908" t="s">
        <v>25</v>
      </c>
      <c r="J908">
        <v>2</v>
      </c>
      <c r="K908" t="s">
        <v>26</v>
      </c>
      <c r="L908">
        <v>24</v>
      </c>
      <c r="M908" t="s">
        <v>27</v>
      </c>
      <c r="N908" t="s">
        <v>28</v>
      </c>
      <c r="O908">
        <v>1</v>
      </c>
      <c r="P908" t="s">
        <v>39</v>
      </c>
      <c r="Q908">
        <v>1</v>
      </c>
      <c r="R908" t="s">
        <v>27</v>
      </c>
      <c r="S908" t="s">
        <v>75</v>
      </c>
      <c r="T908" t="s">
        <v>31</v>
      </c>
    </row>
    <row r="909" spans="1:20" x14ac:dyDescent="0.35">
      <c r="A909" t="s">
        <v>967</v>
      </c>
      <c r="B909">
        <v>36</v>
      </c>
      <c r="C909" t="s">
        <v>33</v>
      </c>
      <c r="D909" t="s">
        <v>37</v>
      </c>
      <c r="E909">
        <v>408210</v>
      </c>
      <c r="F909" s="2" t="s">
        <v>23</v>
      </c>
      <c r="G909" t="s">
        <v>34</v>
      </c>
      <c r="H909">
        <v>2</v>
      </c>
      <c r="I909" t="s">
        <v>25</v>
      </c>
      <c r="J909">
        <v>2</v>
      </c>
      <c r="K909" t="s">
        <v>52</v>
      </c>
      <c r="L909">
        <v>27</v>
      </c>
      <c r="M909" t="s">
        <v>27</v>
      </c>
      <c r="N909" t="s">
        <v>28</v>
      </c>
      <c r="O909">
        <v>1</v>
      </c>
      <c r="P909" t="s">
        <v>29</v>
      </c>
      <c r="Q909">
        <v>1</v>
      </c>
      <c r="R909" t="s">
        <v>27</v>
      </c>
      <c r="S909" t="s">
        <v>30</v>
      </c>
      <c r="T909" t="s">
        <v>31</v>
      </c>
    </row>
    <row r="910" spans="1:20" x14ac:dyDescent="0.35">
      <c r="A910" t="s">
        <v>968</v>
      </c>
      <c r="B910">
        <v>15</v>
      </c>
      <c r="C910" t="s">
        <v>45</v>
      </c>
      <c r="D910" t="s">
        <v>51</v>
      </c>
      <c r="E910">
        <v>395340</v>
      </c>
      <c r="F910" s="1" t="s">
        <v>1060</v>
      </c>
      <c r="G910" t="s">
        <v>59</v>
      </c>
      <c r="H910">
        <v>1</v>
      </c>
      <c r="I910" t="s">
        <v>35</v>
      </c>
      <c r="J910">
        <v>2</v>
      </c>
      <c r="K910" t="s">
        <v>42</v>
      </c>
      <c r="L910">
        <v>46</v>
      </c>
      <c r="M910" t="s">
        <v>27</v>
      </c>
      <c r="N910" t="s">
        <v>28</v>
      </c>
      <c r="O910">
        <v>2</v>
      </c>
      <c r="P910" t="s">
        <v>39</v>
      </c>
      <c r="Q910">
        <v>1</v>
      </c>
      <c r="R910" t="s">
        <v>27</v>
      </c>
      <c r="S910" t="s">
        <v>30</v>
      </c>
      <c r="T910" t="s">
        <v>31</v>
      </c>
    </row>
    <row r="911" spans="1:20" x14ac:dyDescent="0.35">
      <c r="A911" t="s">
        <v>969</v>
      </c>
      <c r="B911">
        <v>9</v>
      </c>
      <c r="C911" t="s">
        <v>33</v>
      </c>
      <c r="D911" t="s">
        <v>46</v>
      </c>
      <c r="E911">
        <v>351450</v>
      </c>
      <c r="F911" s="2" t="s">
        <v>23</v>
      </c>
      <c r="G911" t="s">
        <v>34</v>
      </c>
      <c r="H911">
        <v>1</v>
      </c>
      <c r="I911" t="s">
        <v>35</v>
      </c>
      <c r="J911">
        <v>2</v>
      </c>
      <c r="K911" t="s">
        <v>26</v>
      </c>
      <c r="L911">
        <v>33</v>
      </c>
      <c r="M911" t="s">
        <v>27</v>
      </c>
      <c r="N911" t="s">
        <v>28</v>
      </c>
      <c r="O911">
        <v>1</v>
      </c>
      <c r="P911" t="s">
        <v>39</v>
      </c>
      <c r="Q911">
        <v>1</v>
      </c>
      <c r="R911" t="s">
        <v>27</v>
      </c>
      <c r="S911" t="s">
        <v>30</v>
      </c>
      <c r="T911" t="s">
        <v>31</v>
      </c>
    </row>
    <row r="912" spans="1:20" x14ac:dyDescent="0.35">
      <c r="A912" t="s">
        <v>970</v>
      </c>
      <c r="B912">
        <v>36</v>
      </c>
      <c r="C912" t="s">
        <v>45</v>
      </c>
      <c r="D912" t="s">
        <v>22</v>
      </c>
      <c r="E912">
        <v>489940</v>
      </c>
      <c r="F912" s="1" t="s">
        <v>1060</v>
      </c>
      <c r="G912" t="s">
        <v>34</v>
      </c>
      <c r="H912">
        <v>4</v>
      </c>
      <c r="I912" t="s">
        <v>35</v>
      </c>
      <c r="J912">
        <v>4</v>
      </c>
      <c r="K912" t="s">
        <v>26</v>
      </c>
      <c r="L912">
        <v>34</v>
      </c>
      <c r="M912" t="s">
        <v>27</v>
      </c>
      <c r="N912" t="s">
        <v>28</v>
      </c>
      <c r="O912">
        <v>2</v>
      </c>
      <c r="P912" t="s">
        <v>29</v>
      </c>
      <c r="Q912">
        <v>1</v>
      </c>
      <c r="R912" t="s">
        <v>27</v>
      </c>
      <c r="S912" t="s">
        <v>30</v>
      </c>
      <c r="T912" t="s">
        <v>31</v>
      </c>
    </row>
    <row r="913" spans="1:20" x14ac:dyDescent="0.35">
      <c r="A913" t="s">
        <v>971</v>
      </c>
      <c r="B913">
        <v>24</v>
      </c>
      <c r="C913" t="s">
        <v>21</v>
      </c>
      <c r="D913" t="s">
        <v>41</v>
      </c>
      <c r="E913">
        <v>520960</v>
      </c>
      <c r="F913" s="2" t="s">
        <v>1060</v>
      </c>
      <c r="G913" t="s">
        <v>59</v>
      </c>
      <c r="H913">
        <v>2</v>
      </c>
      <c r="I913" t="s">
        <v>35</v>
      </c>
      <c r="J913">
        <v>4</v>
      </c>
      <c r="K913" t="s">
        <v>52</v>
      </c>
      <c r="L913">
        <v>25</v>
      </c>
      <c r="M913" t="s">
        <v>69</v>
      </c>
      <c r="N913" t="s">
        <v>28</v>
      </c>
      <c r="O913">
        <v>1</v>
      </c>
      <c r="P913" t="s">
        <v>39</v>
      </c>
      <c r="Q913">
        <v>1</v>
      </c>
      <c r="R913" t="s">
        <v>27</v>
      </c>
      <c r="S913" t="s">
        <v>30</v>
      </c>
      <c r="T913" t="s">
        <v>31</v>
      </c>
    </row>
    <row r="914" spans="1:20" x14ac:dyDescent="0.35">
      <c r="A914" t="s">
        <v>972</v>
      </c>
      <c r="B914">
        <v>30</v>
      </c>
      <c r="C914" t="s">
        <v>33</v>
      </c>
      <c r="D914" t="s">
        <v>22</v>
      </c>
      <c r="E914">
        <v>329010</v>
      </c>
      <c r="F914" s="1" t="s">
        <v>23</v>
      </c>
      <c r="G914" t="s">
        <v>24</v>
      </c>
      <c r="H914">
        <v>2</v>
      </c>
      <c r="I914" t="s">
        <v>35</v>
      </c>
      <c r="J914">
        <v>4</v>
      </c>
      <c r="K914" t="s">
        <v>52</v>
      </c>
      <c r="L914">
        <v>25</v>
      </c>
      <c r="M914" t="s">
        <v>27</v>
      </c>
      <c r="N914" t="s">
        <v>28</v>
      </c>
      <c r="O914">
        <v>1</v>
      </c>
      <c r="P914" t="s">
        <v>29</v>
      </c>
      <c r="Q914">
        <v>1</v>
      </c>
      <c r="R914" t="s">
        <v>27</v>
      </c>
      <c r="S914" t="s">
        <v>30</v>
      </c>
      <c r="T914" t="s">
        <v>31</v>
      </c>
    </row>
    <row r="915" spans="1:20" x14ac:dyDescent="0.35">
      <c r="A915" t="s">
        <v>973</v>
      </c>
      <c r="B915">
        <v>11</v>
      </c>
      <c r="C915" t="s">
        <v>33</v>
      </c>
      <c r="D915" t="s">
        <v>61</v>
      </c>
      <c r="E915">
        <v>235620</v>
      </c>
      <c r="F915" s="2" t="s">
        <v>1062</v>
      </c>
      <c r="G915" t="s">
        <v>24</v>
      </c>
      <c r="H915">
        <v>1</v>
      </c>
      <c r="I915" t="s">
        <v>25</v>
      </c>
      <c r="J915">
        <v>2</v>
      </c>
      <c r="K915" t="s">
        <v>26</v>
      </c>
      <c r="L915">
        <v>28</v>
      </c>
      <c r="M915" t="s">
        <v>27</v>
      </c>
      <c r="N915" t="s">
        <v>28</v>
      </c>
      <c r="O915">
        <v>1</v>
      </c>
      <c r="P915" t="s">
        <v>29</v>
      </c>
      <c r="Q915">
        <v>1</v>
      </c>
      <c r="R915" t="s">
        <v>30</v>
      </c>
      <c r="S915" t="s">
        <v>30</v>
      </c>
      <c r="T915" t="s">
        <v>31</v>
      </c>
    </row>
    <row r="916" spans="1:20" x14ac:dyDescent="0.35">
      <c r="A916" t="s">
        <v>974</v>
      </c>
      <c r="B916">
        <v>24</v>
      </c>
      <c r="C916" t="s">
        <v>81</v>
      </c>
      <c r="D916" t="s">
        <v>61</v>
      </c>
      <c r="E916">
        <v>347710</v>
      </c>
      <c r="F916" s="1" t="s">
        <v>1060</v>
      </c>
      <c r="G916" t="s">
        <v>34</v>
      </c>
      <c r="H916">
        <v>4</v>
      </c>
      <c r="I916" t="s">
        <v>25</v>
      </c>
      <c r="J916">
        <v>2</v>
      </c>
      <c r="K916" t="s">
        <v>42</v>
      </c>
      <c r="L916">
        <v>31</v>
      </c>
      <c r="M916" t="s">
        <v>27</v>
      </c>
      <c r="N916" t="s">
        <v>53</v>
      </c>
      <c r="O916">
        <v>1</v>
      </c>
      <c r="P916" t="s">
        <v>29</v>
      </c>
      <c r="Q916">
        <v>1</v>
      </c>
      <c r="R916" t="s">
        <v>30</v>
      </c>
      <c r="S916" t="s">
        <v>30</v>
      </c>
      <c r="T916" t="s">
        <v>31</v>
      </c>
    </row>
    <row r="917" spans="1:20" x14ac:dyDescent="0.35">
      <c r="A917" t="s">
        <v>975</v>
      </c>
      <c r="B917">
        <v>48</v>
      </c>
      <c r="C917" t="s">
        <v>68</v>
      </c>
      <c r="D917" t="s">
        <v>131</v>
      </c>
      <c r="E917">
        <v>2026640</v>
      </c>
      <c r="F917" s="2" t="s">
        <v>1060</v>
      </c>
      <c r="G917" t="s">
        <v>34</v>
      </c>
      <c r="H917">
        <v>1</v>
      </c>
      <c r="I917" t="s">
        <v>35</v>
      </c>
      <c r="J917">
        <v>2</v>
      </c>
      <c r="K917" t="s">
        <v>42</v>
      </c>
      <c r="L917">
        <v>32</v>
      </c>
      <c r="M917" t="s">
        <v>69</v>
      </c>
      <c r="N917" t="s">
        <v>28</v>
      </c>
      <c r="O917">
        <v>1</v>
      </c>
      <c r="P917" t="s">
        <v>54</v>
      </c>
      <c r="Q917">
        <v>1</v>
      </c>
      <c r="R917" t="s">
        <v>30</v>
      </c>
      <c r="S917" t="s">
        <v>75</v>
      </c>
      <c r="T917" t="s">
        <v>31</v>
      </c>
    </row>
    <row r="918" spans="1:20" x14ac:dyDescent="0.35">
      <c r="A918" t="s">
        <v>976</v>
      </c>
      <c r="B918">
        <v>10</v>
      </c>
      <c r="C918" t="s">
        <v>33</v>
      </c>
      <c r="D918" t="s">
        <v>51</v>
      </c>
      <c r="E918">
        <v>313280</v>
      </c>
      <c r="F918" s="1" t="s">
        <v>1063</v>
      </c>
      <c r="G918" t="s">
        <v>34</v>
      </c>
      <c r="H918">
        <v>1</v>
      </c>
      <c r="I918" t="s">
        <v>25</v>
      </c>
      <c r="J918">
        <v>2</v>
      </c>
      <c r="K918" t="s">
        <v>26</v>
      </c>
      <c r="L918">
        <v>32</v>
      </c>
      <c r="M918" t="s">
        <v>27</v>
      </c>
      <c r="N918" t="s">
        <v>28</v>
      </c>
      <c r="O918">
        <v>1</v>
      </c>
      <c r="P918" t="s">
        <v>29</v>
      </c>
      <c r="Q918">
        <v>2</v>
      </c>
      <c r="R918" t="s">
        <v>27</v>
      </c>
      <c r="S918" t="s">
        <v>30</v>
      </c>
      <c r="T918" t="s">
        <v>31</v>
      </c>
    </row>
    <row r="919" spans="1:20" x14ac:dyDescent="0.35">
      <c r="A919" t="s">
        <v>977</v>
      </c>
      <c r="B919">
        <v>6</v>
      </c>
      <c r="C919" t="s">
        <v>33</v>
      </c>
      <c r="D919" t="s">
        <v>46</v>
      </c>
      <c r="E919">
        <v>1638560</v>
      </c>
      <c r="F919" s="2" t="s">
        <v>1060</v>
      </c>
      <c r="G919" t="s">
        <v>24</v>
      </c>
      <c r="H919">
        <v>1</v>
      </c>
      <c r="I919" t="s">
        <v>25</v>
      </c>
      <c r="J919">
        <v>4</v>
      </c>
      <c r="K919" t="s">
        <v>47</v>
      </c>
      <c r="L919">
        <v>68</v>
      </c>
      <c r="M919" t="s">
        <v>69</v>
      </c>
      <c r="N919" t="s">
        <v>28</v>
      </c>
      <c r="O919">
        <v>1</v>
      </c>
      <c r="P919" t="s">
        <v>54</v>
      </c>
      <c r="Q919">
        <v>1</v>
      </c>
      <c r="R919" t="s">
        <v>30</v>
      </c>
      <c r="S919" t="s">
        <v>30</v>
      </c>
      <c r="T919" t="s">
        <v>31</v>
      </c>
    </row>
    <row r="920" spans="1:20" x14ac:dyDescent="0.35">
      <c r="A920" t="s">
        <v>978</v>
      </c>
      <c r="B920">
        <v>24</v>
      </c>
      <c r="C920" t="s">
        <v>33</v>
      </c>
      <c r="D920" t="s">
        <v>41</v>
      </c>
      <c r="E920">
        <v>259490</v>
      </c>
      <c r="F920" s="1" t="s">
        <v>1063</v>
      </c>
      <c r="G920" t="s">
        <v>57</v>
      </c>
      <c r="H920">
        <v>1</v>
      </c>
      <c r="I920" t="s">
        <v>25</v>
      </c>
      <c r="J920">
        <v>1</v>
      </c>
      <c r="K920" t="s">
        <v>42</v>
      </c>
      <c r="L920">
        <v>33</v>
      </c>
      <c r="M920" t="s">
        <v>27</v>
      </c>
      <c r="N920" t="s">
        <v>28</v>
      </c>
      <c r="O920">
        <v>1</v>
      </c>
      <c r="P920" t="s">
        <v>29</v>
      </c>
      <c r="Q920">
        <v>1</v>
      </c>
      <c r="R920" t="s">
        <v>27</v>
      </c>
      <c r="S920" t="s">
        <v>30</v>
      </c>
      <c r="T920" t="s">
        <v>31</v>
      </c>
    </row>
    <row r="921" spans="1:20" x14ac:dyDescent="0.35">
      <c r="A921" t="s">
        <v>979</v>
      </c>
      <c r="B921">
        <v>24</v>
      </c>
      <c r="C921" t="s">
        <v>33</v>
      </c>
      <c r="D921" t="s">
        <v>41</v>
      </c>
      <c r="E921">
        <v>367950</v>
      </c>
      <c r="F921" s="2" t="s">
        <v>1060</v>
      </c>
      <c r="G921" t="s">
        <v>24</v>
      </c>
      <c r="H921">
        <v>4</v>
      </c>
      <c r="I921" t="s">
        <v>25</v>
      </c>
      <c r="J921">
        <v>2</v>
      </c>
      <c r="K921" t="s">
        <v>42</v>
      </c>
      <c r="L921">
        <v>39</v>
      </c>
      <c r="M921" t="s">
        <v>27</v>
      </c>
      <c r="N921" t="s">
        <v>53</v>
      </c>
      <c r="O921">
        <v>1</v>
      </c>
      <c r="P921" t="s">
        <v>54</v>
      </c>
      <c r="Q921">
        <v>1</v>
      </c>
      <c r="R921" t="s">
        <v>30</v>
      </c>
      <c r="S921" t="s">
        <v>30</v>
      </c>
      <c r="T921" t="s">
        <v>31</v>
      </c>
    </row>
    <row r="922" spans="1:20" x14ac:dyDescent="0.35">
      <c r="A922" t="s">
        <v>980</v>
      </c>
      <c r="B922">
        <v>18</v>
      </c>
      <c r="C922" t="s">
        <v>21</v>
      </c>
      <c r="D922" t="s">
        <v>41</v>
      </c>
      <c r="E922">
        <v>199870</v>
      </c>
      <c r="F922" s="1" t="s">
        <v>1060</v>
      </c>
      <c r="G922" t="s">
        <v>34</v>
      </c>
      <c r="H922">
        <v>4</v>
      </c>
      <c r="I922" t="s">
        <v>35</v>
      </c>
      <c r="J922">
        <v>2</v>
      </c>
      <c r="K922" t="s">
        <v>47</v>
      </c>
      <c r="L922">
        <v>28</v>
      </c>
      <c r="M922" t="s">
        <v>27</v>
      </c>
      <c r="N922" t="s">
        <v>28</v>
      </c>
      <c r="O922">
        <v>2</v>
      </c>
      <c r="P922" t="s">
        <v>29</v>
      </c>
      <c r="Q922">
        <v>1</v>
      </c>
      <c r="R922" t="s">
        <v>27</v>
      </c>
      <c r="S922" t="s">
        <v>30</v>
      </c>
      <c r="T922" t="s">
        <v>31</v>
      </c>
    </row>
    <row r="923" spans="1:20" x14ac:dyDescent="0.35">
      <c r="A923" t="s">
        <v>981</v>
      </c>
      <c r="B923">
        <v>48</v>
      </c>
      <c r="C923" t="s">
        <v>45</v>
      </c>
      <c r="D923" t="s">
        <v>22</v>
      </c>
      <c r="E923">
        <v>1402390</v>
      </c>
      <c r="F923" s="2" t="s">
        <v>1061</v>
      </c>
      <c r="G923" t="s">
        <v>38</v>
      </c>
      <c r="H923">
        <v>4</v>
      </c>
      <c r="I923" t="s">
        <v>25</v>
      </c>
      <c r="J923">
        <v>1</v>
      </c>
      <c r="K923" t="s">
        <v>52</v>
      </c>
      <c r="L923">
        <v>37</v>
      </c>
      <c r="M923" t="s">
        <v>27</v>
      </c>
      <c r="N923" t="s">
        <v>28</v>
      </c>
      <c r="O923">
        <v>1</v>
      </c>
      <c r="P923" t="s">
        <v>54</v>
      </c>
      <c r="Q923">
        <v>1</v>
      </c>
      <c r="R923" t="s">
        <v>30</v>
      </c>
      <c r="S923" t="s">
        <v>30</v>
      </c>
      <c r="T923" t="s">
        <v>31</v>
      </c>
    </row>
    <row r="924" spans="1:20" x14ac:dyDescent="0.35">
      <c r="A924" t="s">
        <v>982</v>
      </c>
      <c r="B924">
        <v>9</v>
      </c>
      <c r="C924" t="s">
        <v>33</v>
      </c>
      <c r="D924" t="s">
        <v>22</v>
      </c>
      <c r="E924">
        <v>150260</v>
      </c>
      <c r="F924" s="1" t="s">
        <v>1060</v>
      </c>
      <c r="G924" t="s">
        <v>59</v>
      </c>
      <c r="H924">
        <v>3</v>
      </c>
      <c r="I924" t="s">
        <v>35</v>
      </c>
      <c r="J924">
        <v>4</v>
      </c>
      <c r="K924" t="s">
        <v>42</v>
      </c>
      <c r="L924">
        <v>22</v>
      </c>
      <c r="M924" t="s">
        <v>27</v>
      </c>
      <c r="N924" t="s">
        <v>53</v>
      </c>
      <c r="O924">
        <v>1</v>
      </c>
      <c r="P924" t="s">
        <v>29</v>
      </c>
      <c r="Q924">
        <v>1</v>
      </c>
      <c r="R924" t="s">
        <v>27</v>
      </c>
      <c r="S924" t="s">
        <v>30</v>
      </c>
      <c r="T924" t="s">
        <v>31</v>
      </c>
    </row>
    <row r="925" spans="1:20" x14ac:dyDescent="0.35">
      <c r="A925" t="s">
        <v>983</v>
      </c>
      <c r="B925">
        <v>12</v>
      </c>
      <c r="C925" t="s">
        <v>33</v>
      </c>
      <c r="D925" t="s">
        <v>46</v>
      </c>
      <c r="E925">
        <v>220220</v>
      </c>
      <c r="F925" s="2" t="s">
        <v>1060</v>
      </c>
      <c r="G925" t="s">
        <v>38</v>
      </c>
      <c r="H925">
        <v>3</v>
      </c>
      <c r="I925" t="s">
        <v>25</v>
      </c>
      <c r="J925">
        <v>4</v>
      </c>
      <c r="K925" t="s">
        <v>42</v>
      </c>
      <c r="L925">
        <v>30</v>
      </c>
      <c r="M925" t="s">
        <v>27</v>
      </c>
      <c r="N925" t="s">
        <v>53</v>
      </c>
      <c r="O925">
        <v>1</v>
      </c>
      <c r="P925" t="s">
        <v>29</v>
      </c>
      <c r="Q925">
        <v>2</v>
      </c>
      <c r="R925" t="s">
        <v>30</v>
      </c>
      <c r="S925" t="s">
        <v>30</v>
      </c>
      <c r="T925" t="s">
        <v>31</v>
      </c>
    </row>
    <row r="926" spans="1:20" x14ac:dyDescent="0.35">
      <c r="A926" t="s">
        <v>984</v>
      </c>
      <c r="B926">
        <v>24</v>
      </c>
      <c r="C926" t="s">
        <v>81</v>
      </c>
      <c r="D926" t="s">
        <v>41</v>
      </c>
      <c r="E926">
        <v>755920</v>
      </c>
      <c r="F926" s="1" t="s">
        <v>1060</v>
      </c>
      <c r="G926" t="s">
        <v>59</v>
      </c>
      <c r="H926">
        <v>2</v>
      </c>
      <c r="I926" t="s">
        <v>25</v>
      </c>
      <c r="J926">
        <v>1</v>
      </c>
      <c r="K926" t="s">
        <v>42</v>
      </c>
      <c r="L926">
        <v>55</v>
      </c>
      <c r="M926" t="s">
        <v>69</v>
      </c>
      <c r="N926" t="s">
        <v>28</v>
      </c>
      <c r="O926">
        <v>1</v>
      </c>
      <c r="P926" t="s">
        <v>29</v>
      </c>
      <c r="Q926">
        <v>1</v>
      </c>
      <c r="R926" t="s">
        <v>30</v>
      </c>
      <c r="S926" t="s">
        <v>30</v>
      </c>
      <c r="T926" t="s">
        <v>31</v>
      </c>
    </row>
    <row r="927" spans="1:20" x14ac:dyDescent="0.35">
      <c r="A927" t="s">
        <v>985</v>
      </c>
      <c r="B927">
        <v>12</v>
      </c>
      <c r="C927" t="s">
        <v>81</v>
      </c>
      <c r="D927" t="s">
        <v>46</v>
      </c>
      <c r="E927">
        <v>76670</v>
      </c>
      <c r="F927" s="2" t="s">
        <v>1060</v>
      </c>
      <c r="G927" t="s">
        <v>59</v>
      </c>
      <c r="H927">
        <v>4</v>
      </c>
      <c r="I927" t="s">
        <v>25</v>
      </c>
      <c r="J927">
        <v>2</v>
      </c>
      <c r="K927" t="s">
        <v>52</v>
      </c>
      <c r="L927">
        <v>46</v>
      </c>
      <c r="M927" t="s">
        <v>69</v>
      </c>
      <c r="N927" t="s">
        <v>28</v>
      </c>
      <c r="O927">
        <v>2</v>
      </c>
      <c r="P927" t="s">
        <v>29</v>
      </c>
      <c r="Q927">
        <v>1</v>
      </c>
      <c r="R927" t="s">
        <v>30</v>
      </c>
      <c r="S927" t="s">
        <v>30</v>
      </c>
      <c r="T927" t="s">
        <v>31</v>
      </c>
    </row>
    <row r="928" spans="1:20" x14ac:dyDescent="0.35">
      <c r="A928" t="s">
        <v>986</v>
      </c>
      <c r="B928">
        <v>18</v>
      </c>
      <c r="C928" t="s">
        <v>21</v>
      </c>
      <c r="D928" t="s">
        <v>41</v>
      </c>
      <c r="E928">
        <v>115390</v>
      </c>
      <c r="F928" s="1" t="s">
        <v>1060</v>
      </c>
      <c r="G928" t="s">
        <v>59</v>
      </c>
      <c r="H928">
        <v>4</v>
      </c>
      <c r="I928" t="s">
        <v>35</v>
      </c>
      <c r="J928">
        <v>4</v>
      </c>
      <c r="K928" t="s">
        <v>42</v>
      </c>
      <c r="L928">
        <v>21</v>
      </c>
      <c r="M928" t="s">
        <v>27</v>
      </c>
      <c r="N928" t="s">
        <v>53</v>
      </c>
      <c r="O928">
        <v>1</v>
      </c>
      <c r="P928" t="s">
        <v>29</v>
      </c>
      <c r="Q928">
        <v>1</v>
      </c>
      <c r="R928" t="s">
        <v>27</v>
      </c>
      <c r="S928" t="s">
        <v>30</v>
      </c>
      <c r="T928" t="s">
        <v>31</v>
      </c>
    </row>
    <row r="929" spans="1:20" x14ac:dyDescent="0.35">
      <c r="A929" t="s">
        <v>987</v>
      </c>
      <c r="B929">
        <v>48</v>
      </c>
      <c r="C929" t="s">
        <v>33</v>
      </c>
      <c r="D929" t="s">
        <v>51</v>
      </c>
      <c r="E929">
        <v>1132670</v>
      </c>
      <c r="F929" s="2" t="s">
        <v>1060</v>
      </c>
      <c r="G929" t="s">
        <v>38</v>
      </c>
      <c r="H929">
        <v>4</v>
      </c>
      <c r="I929" t="s">
        <v>25</v>
      </c>
      <c r="J929">
        <v>4</v>
      </c>
      <c r="K929" t="s">
        <v>47</v>
      </c>
      <c r="L929">
        <v>39</v>
      </c>
      <c r="M929" t="s">
        <v>86</v>
      </c>
      <c r="N929" t="s">
        <v>43</v>
      </c>
      <c r="O929">
        <v>3</v>
      </c>
      <c r="P929" t="s">
        <v>29</v>
      </c>
      <c r="Q929">
        <v>2</v>
      </c>
      <c r="R929" t="s">
        <v>30</v>
      </c>
      <c r="S929" t="s">
        <v>30</v>
      </c>
      <c r="T929" t="s">
        <v>31</v>
      </c>
    </row>
    <row r="930" spans="1:20" x14ac:dyDescent="0.35">
      <c r="A930" t="s">
        <v>988</v>
      </c>
      <c r="B930">
        <v>30</v>
      </c>
      <c r="C930" t="s">
        <v>33</v>
      </c>
      <c r="D930" t="s">
        <v>22</v>
      </c>
      <c r="E930">
        <v>205370</v>
      </c>
      <c r="F930" s="1" t="s">
        <v>23</v>
      </c>
      <c r="G930" t="s">
        <v>24</v>
      </c>
      <c r="H930">
        <v>4</v>
      </c>
      <c r="I930" t="s">
        <v>25</v>
      </c>
      <c r="J930">
        <v>4</v>
      </c>
      <c r="K930" t="s">
        <v>52</v>
      </c>
      <c r="L930">
        <v>58</v>
      </c>
      <c r="M930" t="s">
        <v>27</v>
      </c>
      <c r="N930" t="s">
        <v>28</v>
      </c>
      <c r="O930">
        <v>1</v>
      </c>
      <c r="P930" t="s">
        <v>29</v>
      </c>
      <c r="Q930">
        <v>1</v>
      </c>
      <c r="R930" t="s">
        <v>30</v>
      </c>
      <c r="S930" t="s">
        <v>30</v>
      </c>
      <c r="T930" t="s">
        <v>31</v>
      </c>
    </row>
    <row r="931" spans="1:20" x14ac:dyDescent="0.35">
      <c r="A931" t="s">
        <v>989</v>
      </c>
      <c r="B931">
        <v>12</v>
      </c>
      <c r="C931" t="s">
        <v>45</v>
      </c>
      <c r="D931" t="s">
        <v>46</v>
      </c>
      <c r="E931">
        <v>147840</v>
      </c>
      <c r="F931" s="2" t="s">
        <v>1060</v>
      </c>
      <c r="G931" t="s">
        <v>34</v>
      </c>
      <c r="H931">
        <v>4</v>
      </c>
      <c r="I931" t="s">
        <v>25</v>
      </c>
      <c r="J931">
        <v>2</v>
      </c>
      <c r="K931" t="s">
        <v>26</v>
      </c>
      <c r="L931">
        <v>43</v>
      </c>
      <c r="M931" t="s">
        <v>27</v>
      </c>
      <c r="N931" t="s">
        <v>28</v>
      </c>
      <c r="O931">
        <v>2</v>
      </c>
      <c r="P931" t="s">
        <v>39</v>
      </c>
      <c r="Q931">
        <v>2</v>
      </c>
      <c r="R931" t="s">
        <v>27</v>
      </c>
      <c r="S931" t="s">
        <v>30</v>
      </c>
      <c r="T931" t="s">
        <v>31</v>
      </c>
    </row>
    <row r="932" spans="1:20" x14ac:dyDescent="0.35">
      <c r="A932" t="s">
        <v>990</v>
      </c>
      <c r="B932">
        <v>24</v>
      </c>
      <c r="C932" t="s">
        <v>33</v>
      </c>
      <c r="D932" t="s">
        <v>41</v>
      </c>
      <c r="E932">
        <v>192170</v>
      </c>
      <c r="F932" s="1" t="s">
        <v>1060</v>
      </c>
      <c r="G932" t="s">
        <v>59</v>
      </c>
      <c r="H932">
        <v>4</v>
      </c>
      <c r="I932" t="s">
        <v>25</v>
      </c>
      <c r="J932">
        <v>1</v>
      </c>
      <c r="K932" t="s">
        <v>42</v>
      </c>
      <c r="L932">
        <v>24</v>
      </c>
      <c r="M932" t="s">
        <v>27</v>
      </c>
      <c r="N932" t="s">
        <v>28</v>
      </c>
      <c r="O932">
        <v>1</v>
      </c>
      <c r="P932" t="s">
        <v>39</v>
      </c>
      <c r="Q932">
        <v>1</v>
      </c>
      <c r="R932" t="s">
        <v>27</v>
      </c>
      <c r="S932" t="s">
        <v>75</v>
      </c>
      <c r="T932" t="s">
        <v>31</v>
      </c>
    </row>
    <row r="933" spans="1:20" x14ac:dyDescent="0.35">
      <c r="A933" t="s">
        <v>991</v>
      </c>
      <c r="B933">
        <v>9</v>
      </c>
      <c r="C933" t="s">
        <v>33</v>
      </c>
      <c r="D933" t="s">
        <v>22</v>
      </c>
      <c r="E933">
        <v>183700</v>
      </c>
      <c r="F933" s="2" t="s">
        <v>1060</v>
      </c>
      <c r="G933" t="s">
        <v>59</v>
      </c>
      <c r="H933">
        <v>4</v>
      </c>
      <c r="I933" t="s">
        <v>35</v>
      </c>
      <c r="J933">
        <v>2</v>
      </c>
      <c r="K933" t="s">
        <v>52</v>
      </c>
      <c r="L933">
        <v>22</v>
      </c>
      <c r="M933" t="s">
        <v>27</v>
      </c>
      <c r="N933" t="s">
        <v>28</v>
      </c>
      <c r="O933">
        <v>1</v>
      </c>
      <c r="P933" t="s">
        <v>29</v>
      </c>
      <c r="Q933">
        <v>1</v>
      </c>
      <c r="R933" t="s">
        <v>30</v>
      </c>
      <c r="S933" t="s">
        <v>30</v>
      </c>
      <c r="T933" t="s">
        <v>31</v>
      </c>
    </row>
    <row r="934" spans="1:20" x14ac:dyDescent="0.35">
      <c r="A934" t="s">
        <v>992</v>
      </c>
      <c r="B934">
        <v>9</v>
      </c>
      <c r="C934" t="s">
        <v>21</v>
      </c>
      <c r="D934" t="s">
        <v>46</v>
      </c>
      <c r="E934">
        <v>134640</v>
      </c>
      <c r="F934" s="1" t="s">
        <v>1060</v>
      </c>
      <c r="G934" t="s">
        <v>34</v>
      </c>
      <c r="H934">
        <v>3</v>
      </c>
      <c r="I934" t="s">
        <v>25</v>
      </c>
      <c r="J934">
        <v>1</v>
      </c>
      <c r="K934" t="s">
        <v>26</v>
      </c>
      <c r="L934">
        <v>30</v>
      </c>
      <c r="M934" t="s">
        <v>27</v>
      </c>
      <c r="N934" t="s">
        <v>28</v>
      </c>
      <c r="O934">
        <v>2</v>
      </c>
      <c r="P934" t="s">
        <v>29</v>
      </c>
      <c r="Q934">
        <v>1</v>
      </c>
      <c r="R934" t="s">
        <v>27</v>
      </c>
      <c r="S934" t="s">
        <v>30</v>
      </c>
      <c r="T934" t="s">
        <v>31</v>
      </c>
    </row>
    <row r="935" spans="1:20" x14ac:dyDescent="0.35">
      <c r="A935" t="s">
        <v>993</v>
      </c>
      <c r="B935">
        <v>12</v>
      </c>
      <c r="C935" t="s">
        <v>21</v>
      </c>
      <c r="D935" t="s">
        <v>22</v>
      </c>
      <c r="E935">
        <v>57420</v>
      </c>
      <c r="F935" s="2" t="s">
        <v>1061</v>
      </c>
      <c r="G935" t="s">
        <v>24</v>
      </c>
      <c r="H935">
        <v>4</v>
      </c>
      <c r="I935" t="s">
        <v>25</v>
      </c>
      <c r="J935">
        <v>4</v>
      </c>
      <c r="K935" t="s">
        <v>42</v>
      </c>
      <c r="L935">
        <v>42</v>
      </c>
      <c r="M935" t="s">
        <v>27</v>
      </c>
      <c r="N935" t="s">
        <v>28</v>
      </c>
      <c r="O935">
        <v>2</v>
      </c>
      <c r="P935" t="s">
        <v>29</v>
      </c>
      <c r="Q935">
        <v>2</v>
      </c>
      <c r="R935" t="s">
        <v>30</v>
      </c>
      <c r="S935" t="s">
        <v>30</v>
      </c>
      <c r="T935" t="s">
        <v>31</v>
      </c>
    </row>
    <row r="936" spans="1:20" x14ac:dyDescent="0.35">
      <c r="A936" t="s">
        <v>994</v>
      </c>
      <c r="B936">
        <v>12</v>
      </c>
      <c r="C936" t="s">
        <v>33</v>
      </c>
      <c r="D936" t="s">
        <v>22</v>
      </c>
      <c r="E936">
        <v>164780</v>
      </c>
      <c r="F936" s="1" t="s">
        <v>1060</v>
      </c>
      <c r="G936" t="s">
        <v>34</v>
      </c>
      <c r="H936">
        <v>4</v>
      </c>
      <c r="I936" t="s">
        <v>35</v>
      </c>
      <c r="J936">
        <v>1</v>
      </c>
      <c r="K936" t="s">
        <v>52</v>
      </c>
      <c r="L936">
        <v>23</v>
      </c>
      <c r="M936" t="s">
        <v>69</v>
      </c>
      <c r="N936" t="s">
        <v>28</v>
      </c>
      <c r="O936">
        <v>1</v>
      </c>
      <c r="P936" t="s">
        <v>29</v>
      </c>
      <c r="Q936">
        <v>1</v>
      </c>
      <c r="R936" t="s">
        <v>27</v>
      </c>
      <c r="S936" t="s">
        <v>30</v>
      </c>
      <c r="T936" t="s">
        <v>31</v>
      </c>
    </row>
    <row r="937" spans="1:20" x14ac:dyDescent="0.35">
      <c r="A937" t="s">
        <v>995</v>
      </c>
      <c r="B937">
        <v>30</v>
      </c>
      <c r="C937" t="s">
        <v>45</v>
      </c>
      <c r="D937" t="s">
        <v>22</v>
      </c>
      <c r="E937">
        <v>211090</v>
      </c>
      <c r="F937" s="2" t="s">
        <v>1063</v>
      </c>
      <c r="G937" t="s">
        <v>59</v>
      </c>
      <c r="H937">
        <v>4</v>
      </c>
      <c r="I937" t="s">
        <v>25</v>
      </c>
      <c r="J937">
        <v>3</v>
      </c>
      <c r="K937" t="s">
        <v>47</v>
      </c>
      <c r="L937">
        <v>30</v>
      </c>
      <c r="M937" t="s">
        <v>86</v>
      </c>
      <c r="N937" t="s">
        <v>28</v>
      </c>
      <c r="O937">
        <v>2</v>
      </c>
      <c r="P937" t="s">
        <v>54</v>
      </c>
      <c r="Q937">
        <v>1</v>
      </c>
      <c r="R937" t="s">
        <v>27</v>
      </c>
      <c r="S937" t="s">
        <v>30</v>
      </c>
      <c r="T937" t="s">
        <v>31</v>
      </c>
    </row>
    <row r="938" spans="1:20" x14ac:dyDescent="0.35">
      <c r="A938" t="s">
        <v>996</v>
      </c>
      <c r="B938">
        <v>9</v>
      </c>
      <c r="C938" t="s">
        <v>33</v>
      </c>
      <c r="D938" t="s">
        <v>22</v>
      </c>
      <c r="E938">
        <v>81950</v>
      </c>
      <c r="F938" s="1" t="s">
        <v>1060</v>
      </c>
      <c r="G938" t="s">
        <v>34</v>
      </c>
      <c r="H938">
        <v>3</v>
      </c>
      <c r="I938" t="s">
        <v>35</v>
      </c>
      <c r="J938">
        <v>2</v>
      </c>
      <c r="K938" t="s">
        <v>26</v>
      </c>
      <c r="L938">
        <v>28</v>
      </c>
      <c r="M938" t="s">
        <v>27</v>
      </c>
      <c r="N938" t="s">
        <v>28</v>
      </c>
      <c r="O938">
        <v>1</v>
      </c>
      <c r="P938" t="s">
        <v>39</v>
      </c>
      <c r="Q938">
        <v>1</v>
      </c>
      <c r="R938" t="s">
        <v>27</v>
      </c>
      <c r="S938" t="s">
        <v>30</v>
      </c>
      <c r="T938" t="s">
        <v>31</v>
      </c>
    </row>
    <row r="939" spans="1:20" x14ac:dyDescent="0.35">
      <c r="A939" t="s">
        <v>997</v>
      </c>
      <c r="B939">
        <v>6</v>
      </c>
      <c r="C939" t="s">
        <v>33</v>
      </c>
      <c r="D939" t="s">
        <v>22</v>
      </c>
      <c r="E939">
        <v>226930</v>
      </c>
      <c r="F939" s="2" t="s">
        <v>1060</v>
      </c>
      <c r="G939" t="s">
        <v>59</v>
      </c>
      <c r="H939">
        <v>4</v>
      </c>
      <c r="I939" t="s">
        <v>25</v>
      </c>
      <c r="J939">
        <v>3</v>
      </c>
      <c r="K939" t="s">
        <v>52</v>
      </c>
      <c r="L939">
        <v>30</v>
      </c>
      <c r="M939" t="s">
        <v>27</v>
      </c>
      <c r="N939" t="s">
        <v>53</v>
      </c>
      <c r="O939">
        <v>1</v>
      </c>
      <c r="P939" t="s">
        <v>54</v>
      </c>
      <c r="Q939">
        <v>1</v>
      </c>
      <c r="R939" t="s">
        <v>30</v>
      </c>
      <c r="S939" t="s">
        <v>30</v>
      </c>
      <c r="T939" t="s">
        <v>31</v>
      </c>
    </row>
    <row r="940" spans="1:20" x14ac:dyDescent="0.35">
      <c r="A940" t="s">
        <v>998</v>
      </c>
      <c r="B940">
        <v>60</v>
      </c>
      <c r="C940" t="s">
        <v>33</v>
      </c>
      <c r="D940" t="s">
        <v>37</v>
      </c>
      <c r="E940">
        <v>691680</v>
      </c>
      <c r="F940" s="1" t="s">
        <v>1060</v>
      </c>
      <c r="G940" t="s">
        <v>34</v>
      </c>
      <c r="H940">
        <v>4</v>
      </c>
      <c r="I940" t="s">
        <v>25</v>
      </c>
      <c r="J940">
        <v>4</v>
      </c>
      <c r="K940" t="s">
        <v>47</v>
      </c>
      <c r="L940">
        <v>42</v>
      </c>
      <c r="M940" t="s">
        <v>27</v>
      </c>
      <c r="N940" t="s">
        <v>43</v>
      </c>
      <c r="O940">
        <v>1</v>
      </c>
      <c r="P940" t="s">
        <v>29</v>
      </c>
      <c r="Q940">
        <v>1</v>
      </c>
      <c r="R940" t="s">
        <v>27</v>
      </c>
      <c r="S940" t="s">
        <v>30</v>
      </c>
      <c r="T940" t="s">
        <v>31</v>
      </c>
    </row>
    <row r="941" spans="1:20" x14ac:dyDescent="0.35">
      <c r="A941" t="s">
        <v>999</v>
      </c>
      <c r="B941">
        <v>24</v>
      </c>
      <c r="C941" t="s">
        <v>21</v>
      </c>
      <c r="D941" t="s">
        <v>51</v>
      </c>
      <c r="E941">
        <v>752620</v>
      </c>
      <c r="F941" s="2" t="s">
        <v>23</v>
      </c>
      <c r="G941" t="s">
        <v>34</v>
      </c>
      <c r="H941">
        <v>2</v>
      </c>
      <c r="I941" t="s">
        <v>25</v>
      </c>
      <c r="J941">
        <v>4</v>
      </c>
      <c r="K941" t="s">
        <v>42</v>
      </c>
      <c r="L941">
        <v>46</v>
      </c>
      <c r="M941" t="s">
        <v>27</v>
      </c>
      <c r="N941" t="s">
        <v>28</v>
      </c>
      <c r="O941">
        <v>2</v>
      </c>
      <c r="P941" t="s">
        <v>54</v>
      </c>
      <c r="Q941">
        <v>2</v>
      </c>
      <c r="R941" t="s">
        <v>30</v>
      </c>
      <c r="S941" t="s">
        <v>30</v>
      </c>
      <c r="T941" t="s">
        <v>31</v>
      </c>
    </row>
    <row r="942" spans="1:20" x14ac:dyDescent="0.35">
      <c r="A942" t="s">
        <v>1000</v>
      </c>
      <c r="B942">
        <v>12</v>
      </c>
      <c r="C942" t="s">
        <v>33</v>
      </c>
      <c r="D942" t="s">
        <v>46</v>
      </c>
      <c r="E942">
        <v>387970</v>
      </c>
      <c r="F942" s="1" t="s">
        <v>23</v>
      </c>
      <c r="G942" t="s">
        <v>59</v>
      </c>
      <c r="H942">
        <v>2</v>
      </c>
      <c r="I942" t="s">
        <v>25</v>
      </c>
      <c r="J942">
        <v>3</v>
      </c>
      <c r="K942" t="s">
        <v>42</v>
      </c>
      <c r="L942">
        <v>45</v>
      </c>
      <c r="M942" t="s">
        <v>27</v>
      </c>
      <c r="N942" t="s">
        <v>28</v>
      </c>
      <c r="O942">
        <v>1</v>
      </c>
      <c r="P942" t="s">
        <v>54</v>
      </c>
      <c r="Q942">
        <v>2</v>
      </c>
      <c r="R942" t="s">
        <v>30</v>
      </c>
      <c r="S942" t="s">
        <v>30</v>
      </c>
      <c r="T942" t="s">
        <v>31</v>
      </c>
    </row>
    <row r="943" spans="1:20" x14ac:dyDescent="0.35">
      <c r="A943" t="s">
        <v>1001</v>
      </c>
      <c r="B943">
        <v>10</v>
      </c>
      <c r="C943" t="s">
        <v>33</v>
      </c>
      <c r="D943" t="s">
        <v>46</v>
      </c>
      <c r="E943">
        <v>170060</v>
      </c>
      <c r="F943" s="2" t="s">
        <v>1060</v>
      </c>
      <c r="G943" t="s">
        <v>34</v>
      </c>
      <c r="H943">
        <v>3</v>
      </c>
      <c r="I943" t="s">
        <v>25</v>
      </c>
      <c r="J943">
        <v>2</v>
      </c>
      <c r="K943" t="s">
        <v>26</v>
      </c>
      <c r="L943">
        <v>31</v>
      </c>
      <c r="M943" t="s">
        <v>27</v>
      </c>
      <c r="N943" t="s">
        <v>28</v>
      </c>
      <c r="O943">
        <v>1</v>
      </c>
      <c r="P943" t="s">
        <v>39</v>
      </c>
      <c r="Q943">
        <v>2</v>
      </c>
      <c r="R943" t="s">
        <v>27</v>
      </c>
      <c r="S943" t="s">
        <v>75</v>
      </c>
      <c r="T943" t="s">
        <v>31</v>
      </c>
    </row>
    <row r="944" spans="1:20" x14ac:dyDescent="0.35">
      <c r="A944" t="s">
        <v>1002</v>
      </c>
      <c r="B944">
        <v>24</v>
      </c>
      <c r="C944" t="s">
        <v>33</v>
      </c>
      <c r="D944" t="s">
        <v>41</v>
      </c>
      <c r="E944">
        <v>102190</v>
      </c>
      <c r="F944" s="1" t="s">
        <v>23</v>
      </c>
      <c r="G944" t="s">
        <v>38</v>
      </c>
      <c r="H944">
        <v>4</v>
      </c>
      <c r="I944" t="s">
        <v>25</v>
      </c>
      <c r="J944">
        <v>2</v>
      </c>
      <c r="K944" t="s">
        <v>52</v>
      </c>
      <c r="L944">
        <v>31</v>
      </c>
      <c r="M944" t="s">
        <v>86</v>
      </c>
      <c r="N944" t="s">
        <v>28</v>
      </c>
      <c r="O944">
        <v>1</v>
      </c>
      <c r="P944" t="s">
        <v>29</v>
      </c>
      <c r="Q944">
        <v>1</v>
      </c>
      <c r="R944" t="s">
        <v>30</v>
      </c>
      <c r="S944" t="s">
        <v>30</v>
      </c>
      <c r="T944" t="s">
        <v>31</v>
      </c>
    </row>
    <row r="945" spans="1:20" x14ac:dyDescent="0.35">
      <c r="A945" t="s">
        <v>1003</v>
      </c>
      <c r="B945">
        <v>4</v>
      </c>
      <c r="C945" t="s">
        <v>21</v>
      </c>
      <c r="D945" t="s">
        <v>46</v>
      </c>
      <c r="E945">
        <v>160050</v>
      </c>
      <c r="F945" s="2" t="s">
        <v>1060</v>
      </c>
      <c r="G945" t="s">
        <v>38</v>
      </c>
      <c r="H945">
        <v>2</v>
      </c>
      <c r="I945" t="s">
        <v>25</v>
      </c>
      <c r="J945">
        <v>1</v>
      </c>
      <c r="K945" t="s">
        <v>26</v>
      </c>
      <c r="L945">
        <v>42</v>
      </c>
      <c r="M945" t="s">
        <v>27</v>
      </c>
      <c r="N945" t="s">
        <v>28</v>
      </c>
      <c r="O945">
        <v>3</v>
      </c>
      <c r="P945" t="s">
        <v>39</v>
      </c>
      <c r="Q945">
        <v>2</v>
      </c>
      <c r="R945" t="s">
        <v>27</v>
      </c>
      <c r="S945" t="s">
        <v>30</v>
      </c>
      <c r="T945" t="s">
        <v>31</v>
      </c>
    </row>
    <row r="946" spans="1:20" x14ac:dyDescent="0.35">
      <c r="A946" t="s">
        <v>1004</v>
      </c>
      <c r="B946">
        <v>15</v>
      </c>
      <c r="C946" t="s">
        <v>33</v>
      </c>
      <c r="D946" t="s">
        <v>41</v>
      </c>
      <c r="E946">
        <v>202950</v>
      </c>
      <c r="F946" s="1" t="s">
        <v>1060</v>
      </c>
      <c r="G946" t="s">
        <v>59</v>
      </c>
      <c r="H946">
        <v>4</v>
      </c>
      <c r="I946" t="s">
        <v>35</v>
      </c>
      <c r="J946">
        <v>1</v>
      </c>
      <c r="K946" t="s">
        <v>42</v>
      </c>
      <c r="L946">
        <v>46</v>
      </c>
      <c r="M946" t="s">
        <v>27</v>
      </c>
      <c r="N946" t="s">
        <v>53</v>
      </c>
      <c r="O946">
        <v>1</v>
      </c>
      <c r="P946" t="s">
        <v>29</v>
      </c>
      <c r="Q946">
        <v>1</v>
      </c>
      <c r="R946" t="s">
        <v>27</v>
      </c>
      <c r="S946" t="s">
        <v>30</v>
      </c>
      <c r="T946" t="s">
        <v>31</v>
      </c>
    </row>
    <row r="947" spans="1:20" x14ac:dyDescent="0.35">
      <c r="A947" t="s">
        <v>1005</v>
      </c>
      <c r="B947">
        <v>48</v>
      </c>
      <c r="C947" t="s">
        <v>68</v>
      </c>
      <c r="D947" t="s">
        <v>46</v>
      </c>
      <c r="E947">
        <v>919380</v>
      </c>
      <c r="F947" s="2" t="s">
        <v>1061</v>
      </c>
      <c r="G947" t="s">
        <v>59</v>
      </c>
      <c r="H947">
        <v>1</v>
      </c>
      <c r="I947" t="s">
        <v>35</v>
      </c>
      <c r="J947">
        <v>1</v>
      </c>
      <c r="K947" t="s">
        <v>52</v>
      </c>
      <c r="L947">
        <v>30</v>
      </c>
      <c r="M947" t="s">
        <v>27</v>
      </c>
      <c r="N947" t="s">
        <v>28</v>
      </c>
      <c r="O947">
        <v>2</v>
      </c>
      <c r="P947" t="s">
        <v>29</v>
      </c>
      <c r="Q947">
        <v>1</v>
      </c>
      <c r="R947" t="s">
        <v>27</v>
      </c>
      <c r="S947" t="s">
        <v>30</v>
      </c>
      <c r="T947" t="s">
        <v>31</v>
      </c>
    </row>
    <row r="948" spans="1:20" x14ac:dyDescent="0.35">
      <c r="A948" t="s">
        <v>1006</v>
      </c>
      <c r="B948">
        <v>24</v>
      </c>
      <c r="C948" t="s">
        <v>81</v>
      </c>
      <c r="D948" t="s">
        <v>41</v>
      </c>
      <c r="E948">
        <v>368390</v>
      </c>
      <c r="F948" s="1" t="s">
        <v>1061</v>
      </c>
      <c r="G948" t="s">
        <v>59</v>
      </c>
      <c r="H948">
        <v>4</v>
      </c>
      <c r="I948" t="s">
        <v>25</v>
      </c>
      <c r="J948">
        <v>4</v>
      </c>
      <c r="K948" t="s">
        <v>47</v>
      </c>
      <c r="L948">
        <v>30</v>
      </c>
      <c r="M948" t="s">
        <v>27</v>
      </c>
      <c r="N948" t="s">
        <v>43</v>
      </c>
      <c r="O948">
        <v>1</v>
      </c>
      <c r="P948" t="s">
        <v>29</v>
      </c>
      <c r="Q948">
        <v>2</v>
      </c>
      <c r="R948" t="s">
        <v>30</v>
      </c>
      <c r="S948" t="s">
        <v>30</v>
      </c>
      <c r="T948" t="s">
        <v>31</v>
      </c>
    </row>
    <row r="949" spans="1:20" x14ac:dyDescent="0.35">
      <c r="A949" t="s">
        <v>1007</v>
      </c>
      <c r="B949">
        <v>12</v>
      </c>
      <c r="C949" t="s">
        <v>33</v>
      </c>
      <c r="D949" t="s">
        <v>46</v>
      </c>
      <c r="E949">
        <v>314490</v>
      </c>
      <c r="F949" s="2" t="s">
        <v>23</v>
      </c>
      <c r="G949" t="s">
        <v>57</v>
      </c>
      <c r="H949">
        <v>4</v>
      </c>
      <c r="I949" t="s">
        <v>25</v>
      </c>
      <c r="J949">
        <v>4</v>
      </c>
      <c r="K949" t="s">
        <v>47</v>
      </c>
      <c r="L949">
        <v>38</v>
      </c>
      <c r="M949" t="s">
        <v>27</v>
      </c>
      <c r="N949" t="s">
        <v>28</v>
      </c>
      <c r="O949">
        <v>1</v>
      </c>
      <c r="P949" t="s">
        <v>54</v>
      </c>
      <c r="Q949">
        <v>1</v>
      </c>
      <c r="R949" t="s">
        <v>30</v>
      </c>
      <c r="S949" t="s">
        <v>30</v>
      </c>
      <c r="T949" t="s">
        <v>31</v>
      </c>
    </row>
    <row r="950" spans="1:20" x14ac:dyDescent="0.35">
      <c r="A950" t="s">
        <v>1008</v>
      </c>
      <c r="B950">
        <v>18</v>
      </c>
      <c r="C950" t="s">
        <v>33</v>
      </c>
      <c r="D950" t="s">
        <v>41</v>
      </c>
      <c r="E950">
        <v>168630</v>
      </c>
      <c r="F950" s="1" t="s">
        <v>1060</v>
      </c>
      <c r="G950" t="s">
        <v>59</v>
      </c>
      <c r="H950">
        <v>4</v>
      </c>
      <c r="I950" t="s">
        <v>25</v>
      </c>
      <c r="J950">
        <v>1</v>
      </c>
      <c r="K950" t="s">
        <v>42</v>
      </c>
      <c r="L950">
        <v>43</v>
      </c>
      <c r="M950" t="s">
        <v>27</v>
      </c>
      <c r="N950" t="s">
        <v>28</v>
      </c>
      <c r="O950">
        <v>1</v>
      </c>
      <c r="P950" t="s">
        <v>39</v>
      </c>
      <c r="Q950">
        <v>2</v>
      </c>
      <c r="R950" t="s">
        <v>27</v>
      </c>
      <c r="S950" t="s">
        <v>30</v>
      </c>
      <c r="T950" t="s">
        <v>31</v>
      </c>
    </row>
    <row r="951" spans="1:20" x14ac:dyDescent="0.35">
      <c r="A951" t="s">
        <v>1009</v>
      </c>
      <c r="B951">
        <v>24</v>
      </c>
      <c r="C951" t="s">
        <v>33</v>
      </c>
      <c r="D951" t="s">
        <v>22</v>
      </c>
      <c r="E951">
        <v>398310</v>
      </c>
      <c r="F951" s="2" t="s">
        <v>1063</v>
      </c>
      <c r="G951" t="s">
        <v>24</v>
      </c>
      <c r="H951">
        <v>2</v>
      </c>
      <c r="I951" t="s">
        <v>25</v>
      </c>
      <c r="J951">
        <v>4</v>
      </c>
      <c r="K951" t="s">
        <v>52</v>
      </c>
      <c r="L951">
        <v>31</v>
      </c>
      <c r="M951" t="s">
        <v>27</v>
      </c>
      <c r="N951" t="s">
        <v>28</v>
      </c>
      <c r="O951">
        <v>2</v>
      </c>
      <c r="P951" t="s">
        <v>29</v>
      </c>
      <c r="Q951">
        <v>1</v>
      </c>
      <c r="R951" t="s">
        <v>27</v>
      </c>
      <c r="S951" t="s">
        <v>30</v>
      </c>
      <c r="T951" t="s">
        <v>31</v>
      </c>
    </row>
    <row r="952" spans="1:20" x14ac:dyDescent="0.35">
      <c r="A952" t="s">
        <v>1010</v>
      </c>
      <c r="B952">
        <v>18</v>
      </c>
      <c r="C952" t="s">
        <v>21</v>
      </c>
      <c r="D952" t="s">
        <v>61</v>
      </c>
      <c r="E952">
        <v>394900</v>
      </c>
      <c r="F952" s="1" t="s">
        <v>1060</v>
      </c>
      <c r="G952" t="s">
        <v>57</v>
      </c>
      <c r="H952">
        <v>3</v>
      </c>
      <c r="I952" t="s">
        <v>25</v>
      </c>
      <c r="J952">
        <v>3</v>
      </c>
      <c r="K952" t="s">
        <v>52</v>
      </c>
      <c r="L952">
        <v>40</v>
      </c>
      <c r="M952" t="s">
        <v>27</v>
      </c>
      <c r="N952" t="s">
        <v>28</v>
      </c>
      <c r="O952">
        <v>3</v>
      </c>
      <c r="P952" t="s">
        <v>105</v>
      </c>
      <c r="Q952">
        <v>2</v>
      </c>
      <c r="R952" t="s">
        <v>30</v>
      </c>
      <c r="S952" t="s">
        <v>30</v>
      </c>
      <c r="T952" t="s">
        <v>31</v>
      </c>
    </row>
    <row r="953" spans="1:20" x14ac:dyDescent="0.35">
      <c r="A953" t="s">
        <v>1011</v>
      </c>
      <c r="B953">
        <v>36</v>
      </c>
      <c r="C953" t="s">
        <v>45</v>
      </c>
      <c r="D953" t="s">
        <v>61</v>
      </c>
      <c r="E953">
        <v>235950</v>
      </c>
      <c r="F953" s="2" t="s">
        <v>1060</v>
      </c>
      <c r="G953" t="s">
        <v>38</v>
      </c>
      <c r="H953">
        <v>2</v>
      </c>
      <c r="I953" t="s">
        <v>25</v>
      </c>
      <c r="J953">
        <v>1</v>
      </c>
      <c r="K953" t="s">
        <v>52</v>
      </c>
      <c r="L953">
        <v>24</v>
      </c>
      <c r="M953" t="s">
        <v>27</v>
      </c>
      <c r="N953" t="s">
        <v>28</v>
      </c>
      <c r="O953">
        <v>2</v>
      </c>
      <c r="P953" t="s">
        <v>29</v>
      </c>
      <c r="Q953">
        <v>1</v>
      </c>
      <c r="R953" t="s">
        <v>30</v>
      </c>
      <c r="S953" t="s">
        <v>30</v>
      </c>
      <c r="T953" t="s">
        <v>31</v>
      </c>
    </row>
    <row r="954" spans="1:20" x14ac:dyDescent="0.35">
      <c r="A954" t="s">
        <v>1012</v>
      </c>
      <c r="B954">
        <v>24</v>
      </c>
      <c r="C954" t="s">
        <v>33</v>
      </c>
      <c r="D954" t="s">
        <v>51</v>
      </c>
      <c r="E954">
        <v>452430</v>
      </c>
      <c r="F954" s="1" t="s">
        <v>1061</v>
      </c>
      <c r="G954" t="s">
        <v>59</v>
      </c>
      <c r="H954">
        <v>3</v>
      </c>
      <c r="I954" t="s">
        <v>35</v>
      </c>
      <c r="J954">
        <v>4</v>
      </c>
      <c r="K954" t="s">
        <v>52</v>
      </c>
      <c r="L954">
        <v>28</v>
      </c>
      <c r="M954" t="s">
        <v>27</v>
      </c>
      <c r="N954" t="s">
        <v>53</v>
      </c>
      <c r="O954">
        <v>1</v>
      </c>
      <c r="P954" t="s">
        <v>29</v>
      </c>
      <c r="Q954">
        <v>1</v>
      </c>
      <c r="R954" t="s">
        <v>27</v>
      </c>
      <c r="S954" t="s">
        <v>30</v>
      </c>
      <c r="T954" t="s">
        <v>31</v>
      </c>
    </row>
    <row r="955" spans="1:20" x14ac:dyDescent="0.35">
      <c r="A955" t="s">
        <v>1013</v>
      </c>
      <c r="B955">
        <v>36</v>
      </c>
      <c r="C955" t="s">
        <v>33</v>
      </c>
      <c r="D955" t="s">
        <v>41</v>
      </c>
      <c r="E955">
        <v>1207140</v>
      </c>
      <c r="F955" s="2" t="s">
        <v>1060</v>
      </c>
      <c r="G955" t="s">
        <v>57</v>
      </c>
      <c r="H955">
        <v>4</v>
      </c>
      <c r="I955" t="s">
        <v>35</v>
      </c>
      <c r="J955">
        <v>2</v>
      </c>
      <c r="K955" t="s">
        <v>52</v>
      </c>
      <c r="L955">
        <v>26</v>
      </c>
      <c r="M955" t="s">
        <v>27</v>
      </c>
      <c r="N955" t="s">
        <v>28</v>
      </c>
      <c r="O955">
        <v>2</v>
      </c>
      <c r="P955" t="s">
        <v>54</v>
      </c>
      <c r="Q955">
        <v>1</v>
      </c>
      <c r="R955" t="s">
        <v>30</v>
      </c>
      <c r="S955" t="s">
        <v>30</v>
      </c>
      <c r="T955" t="s">
        <v>31</v>
      </c>
    </row>
    <row r="956" spans="1:20" x14ac:dyDescent="0.35">
      <c r="A956" t="s">
        <v>1014</v>
      </c>
      <c r="B956">
        <v>12</v>
      </c>
      <c r="C956" t="s">
        <v>33</v>
      </c>
      <c r="D956" t="s">
        <v>46</v>
      </c>
      <c r="E956">
        <v>208230</v>
      </c>
      <c r="F956" s="1" t="s">
        <v>1060</v>
      </c>
      <c r="G956" t="s">
        <v>34</v>
      </c>
      <c r="H956">
        <v>4</v>
      </c>
      <c r="I956" t="s">
        <v>35</v>
      </c>
      <c r="J956">
        <v>4</v>
      </c>
      <c r="K956" t="s">
        <v>42</v>
      </c>
      <c r="L956">
        <v>29</v>
      </c>
      <c r="M956" t="s">
        <v>27</v>
      </c>
      <c r="N956" t="s">
        <v>28</v>
      </c>
      <c r="O956">
        <v>1</v>
      </c>
      <c r="P956" t="s">
        <v>29</v>
      </c>
      <c r="Q956">
        <v>1</v>
      </c>
      <c r="R956" t="s">
        <v>30</v>
      </c>
      <c r="S956" t="s">
        <v>30</v>
      </c>
      <c r="T956" t="s">
        <v>31</v>
      </c>
    </row>
    <row r="957" spans="1:20" x14ac:dyDescent="0.35">
      <c r="A957" t="s">
        <v>1015</v>
      </c>
      <c r="B957">
        <v>24</v>
      </c>
      <c r="C957" t="s">
        <v>21</v>
      </c>
      <c r="D957" t="s">
        <v>22</v>
      </c>
      <c r="E957">
        <v>135410</v>
      </c>
      <c r="F957" s="2" t="s">
        <v>1062</v>
      </c>
      <c r="G957" t="s">
        <v>24</v>
      </c>
      <c r="H957">
        <v>4</v>
      </c>
      <c r="I957" t="s">
        <v>35</v>
      </c>
      <c r="J957">
        <v>4</v>
      </c>
      <c r="K957" t="s">
        <v>42</v>
      </c>
      <c r="L957">
        <v>57</v>
      </c>
      <c r="M957" t="s">
        <v>27</v>
      </c>
      <c r="N957" t="s">
        <v>53</v>
      </c>
      <c r="O957">
        <v>2</v>
      </c>
      <c r="P957" t="s">
        <v>54</v>
      </c>
      <c r="Q957">
        <v>1</v>
      </c>
      <c r="R957" t="s">
        <v>30</v>
      </c>
      <c r="S957" t="s">
        <v>30</v>
      </c>
      <c r="T957" t="s">
        <v>31</v>
      </c>
    </row>
    <row r="958" spans="1:20" x14ac:dyDescent="0.35">
      <c r="A958" t="s">
        <v>1016</v>
      </c>
      <c r="B958">
        <v>30</v>
      </c>
      <c r="C958" t="s">
        <v>21</v>
      </c>
      <c r="D958" t="s">
        <v>22</v>
      </c>
      <c r="E958">
        <v>402160</v>
      </c>
      <c r="F958" s="1" t="s">
        <v>23</v>
      </c>
      <c r="G958" t="s">
        <v>24</v>
      </c>
      <c r="H958">
        <v>4</v>
      </c>
      <c r="I958" t="s">
        <v>25</v>
      </c>
      <c r="J958">
        <v>4</v>
      </c>
      <c r="K958" t="s">
        <v>42</v>
      </c>
      <c r="L958">
        <v>49</v>
      </c>
      <c r="M958" t="s">
        <v>86</v>
      </c>
      <c r="N958" t="s">
        <v>28</v>
      </c>
      <c r="O958">
        <v>2</v>
      </c>
      <c r="P958" t="s">
        <v>39</v>
      </c>
      <c r="Q958">
        <v>1</v>
      </c>
      <c r="R958" t="s">
        <v>27</v>
      </c>
      <c r="S958" t="s">
        <v>30</v>
      </c>
      <c r="T958" t="s">
        <v>31</v>
      </c>
    </row>
    <row r="959" spans="1:20" x14ac:dyDescent="0.35">
      <c r="A959" t="s">
        <v>1017</v>
      </c>
      <c r="B959">
        <v>9</v>
      </c>
      <c r="C959" t="s">
        <v>21</v>
      </c>
      <c r="D959" t="s">
        <v>22</v>
      </c>
      <c r="E959">
        <v>126940</v>
      </c>
      <c r="F959" s="2" t="s">
        <v>1060</v>
      </c>
      <c r="G959" t="s">
        <v>24</v>
      </c>
      <c r="H959">
        <v>2</v>
      </c>
      <c r="I959" t="s">
        <v>25</v>
      </c>
      <c r="J959">
        <v>4</v>
      </c>
      <c r="K959" t="s">
        <v>26</v>
      </c>
      <c r="L959">
        <v>37</v>
      </c>
      <c r="M959" t="s">
        <v>27</v>
      </c>
      <c r="N959" t="s">
        <v>28</v>
      </c>
      <c r="O959">
        <v>3</v>
      </c>
      <c r="P959" t="s">
        <v>39</v>
      </c>
      <c r="Q959">
        <v>1</v>
      </c>
      <c r="R959" t="s">
        <v>27</v>
      </c>
      <c r="S959" t="s">
        <v>30</v>
      </c>
      <c r="T959" t="s">
        <v>31</v>
      </c>
    </row>
    <row r="960" spans="1:20" x14ac:dyDescent="0.35">
      <c r="A960" t="s">
        <v>1018</v>
      </c>
      <c r="B960">
        <v>28</v>
      </c>
      <c r="C960" t="s">
        <v>33</v>
      </c>
      <c r="D960" t="s">
        <v>46</v>
      </c>
      <c r="E960">
        <v>440660</v>
      </c>
      <c r="F960" s="1" t="s">
        <v>1060</v>
      </c>
      <c r="G960" t="s">
        <v>34</v>
      </c>
      <c r="H960">
        <v>3</v>
      </c>
      <c r="I960" t="s">
        <v>25</v>
      </c>
      <c r="J960">
        <v>2</v>
      </c>
      <c r="K960" t="s">
        <v>52</v>
      </c>
      <c r="L960">
        <v>45</v>
      </c>
      <c r="M960" t="s">
        <v>27</v>
      </c>
      <c r="N960" t="s">
        <v>28</v>
      </c>
      <c r="O960">
        <v>1</v>
      </c>
      <c r="P960" t="s">
        <v>39</v>
      </c>
      <c r="Q960">
        <v>1</v>
      </c>
      <c r="R960" t="s">
        <v>27</v>
      </c>
      <c r="S960" t="s">
        <v>30</v>
      </c>
      <c r="T960" t="s">
        <v>31</v>
      </c>
    </row>
    <row r="961" spans="1:20" x14ac:dyDescent="0.35">
      <c r="A961" t="s">
        <v>1019</v>
      </c>
      <c r="B961">
        <v>24</v>
      </c>
      <c r="C961" t="s">
        <v>33</v>
      </c>
      <c r="D961" t="s">
        <v>41</v>
      </c>
      <c r="E961">
        <v>337590</v>
      </c>
      <c r="F961" s="2" t="s">
        <v>1063</v>
      </c>
      <c r="G961" t="s">
        <v>24</v>
      </c>
      <c r="H961">
        <v>4</v>
      </c>
      <c r="I961" t="s">
        <v>25</v>
      </c>
      <c r="J961">
        <v>4</v>
      </c>
      <c r="K961" t="s">
        <v>47</v>
      </c>
      <c r="L961">
        <v>30</v>
      </c>
      <c r="M961" t="s">
        <v>27</v>
      </c>
      <c r="N961" t="s">
        <v>43</v>
      </c>
      <c r="O961">
        <v>1</v>
      </c>
      <c r="P961" t="s">
        <v>29</v>
      </c>
      <c r="Q961">
        <v>1</v>
      </c>
      <c r="R961" t="s">
        <v>27</v>
      </c>
      <c r="S961" t="s">
        <v>30</v>
      </c>
      <c r="T961" t="s">
        <v>31</v>
      </c>
    </row>
    <row r="962" spans="1:20" x14ac:dyDescent="0.35">
      <c r="A962" t="s">
        <v>1020</v>
      </c>
      <c r="B962">
        <v>6</v>
      </c>
      <c r="C962" t="s">
        <v>21</v>
      </c>
      <c r="D962" t="s">
        <v>22</v>
      </c>
      <c r="E962">
        <v>191400</v>
      </c>
      <c r="F962" s="1" t="s">
        <v>1060</v>
      </c>
      <c r="G962" t="s">
        <v>24</v>
      </c>
      <c r="H962">
        <v>2</v>
      </c>
      <c r="I962" t="s">
        <v>25</v>
      </c>
      <c r="J962">
        <v>2</v>
      </c>
      <c r="K962" t="s">
        <v>26</v>
      </c>
      <c r="L962">
        <v>30</v>
      </c>
      <c r="M962" t="s">
        <v>27</v>
      </c>
      <c r="N962" t="s">
        <v>53</v>
      </c>
      <c r="O962">
        <v>2</v>
      </c>
      <c r="P962" t="s">
        <v>29</v>
      </c>
      <c r="Q962">
        <v>1</v>
      </c>
      <c r="R962" t="s">
        <v>27</v>
      </c>
      <c r="S962" t="s">
        <v>30</v>
      </c>
      <c r="T962" t="s">
        <v>31</v>
      </c>
    </row>
    <row r="963" spans="1:20" x14ac:dyDescent="0.35">
      <c r="A963" t="s">
        <v>1021</v>
      </c>
      <c r="B963">
        <v>21</v>
      </c>
      <c r="C963" t="s">
        <v>45</v>
      </c>
      <c r="D963" t="s">
        <v>46</v>
      </c>
      <c r="E963">
        <v>258830</v>
      </c>
      <c r="F963" s="2" t="s">
        <v>1060</v>
      </c>
      <c r="G963" t="s">
        <v>34</v>
      </c>
      <c r="H963">
        <v>1</v>
      </c>
      <c r="I963" t="s">
        <v>25</v>
      </c>
      <c r="J963">
        <v>4</v>
      </c>
      <c r="K963" t="s">
        <v>42</v>
      </c>
      <c r="L963">
        <v>47</v>
      </c>
      <c r="M963" t="s">
        <v>27</v>
      </c>
      <c r="N963" t="s">
        <v>28</v>
      </c>
      <c r="O963">
        <v>2</v>
      </c>
      <c r="P963" t="s">
        <v>29</v>
      </c>
      <c r="Q963">
        <v>1</v>
      </c>
      <c r="R963" t="s">
        <v>27</v>
      </c>
      <c r="S963" t="s">
        <v>30</v>
      </c>
      <c r="T963" t="s">
        <v>31</v>
      </c>
    </row>
    <row r="964" spans="1:20" x14ac:dyDescent="0.35">
      <c r="A964" t="s">
        <v>1022</v>
      </c>
      <c r="B964">
        <v>15</v>
      </c>
      <c r="C964" t="s">
        <v>33</v>
      </c>
      <c r="D964" t="s">
        <v>46</v>
      </c>
      <c r="E964">
        <v>391160</v>
      </c>
      <c r="F964" s="1" t="s">
        <v>23</v>
      </c>
      <c r="G964" t="s">
        <v>34</v>
      </c>
      <c r="H964">
        <v>3</v>
      </c>
      <c r="I964" t="s">
        <v>25</v>
      </c>
      <c r="J964">
        <v>2</v>
      </c>
      <c r="K964" t="s">
        <v>47</v>
      </c>
      <c r="L964">
        <v>29</v>
      </c>
      <c r="M964" t="s">
        <v>27</v>
      </c>
      <c r="N964" t="s">
        <v>28</v>
      </c>
      <c r="O964">
        <v>1</v>
      </c>
      <c r="P964" t="s">
        <v>29</v>
      </c>
      <c r="Q964">
        <v>1</v>
      </c>
      <c r="R964" t="s">
        <v>27</v>
      </c>
      <c r="S964" t="s">
        <v>30</v>
      </c>
      <c r="T964" t="s">
        <v>31</v>
      </c>
    </row>
    <row r="965" spans="1:20" x14ac:dyDescent="0.35">
      <c r="A965" t="s">
        <v>1023</v>
      </c>
      <c r="B965">
        <v>24</v>
      </c>
      <c r="C965" t="s">
        <v>33</v>
      </c>
      <c r="D965" t="s">
        <v>22</v>
      </c>
      <c r="E965">
        <v>263670</v>
      </c>
      <c r="F965" s="2" t="s">
        <v>1061</v>
      </c>
      <c r="G965" t="s">
        <v>24</v>
      </c>
      <c r="H965">
        <v>3</v>
      </c>
      <c r="I965" t="s">
        <v>25</v>
      </c>
      <c r="J965">
        <v>2</v>
      </c>
      <c r="K965" t="s">
        <v>52</v>
      </c>
      <c r="L965">
        <v>35</v>
      </c>
      <c r="M965" t="s">
        <v>69</v>
      </c>
      <c r="N965" t="s">
        <v>28</v>
      </c>
      <c r="O965">
        <v>2</v>
      </c>
      <c r="P965" t="s">
        <v>29</v>
      </c>
      <c r="Q965">
        <v>1</v>
      </c>
      <c r="R965" t="s">
        <v>30</v>
      </c>
      <c r="S965" t="s">
        <v>30</v>
      </c>
      <c r="T965" t="s">
        <v>31</v>
      </c>
    </row>
    <row r="966" spans="1:20" x14ac:dyDescent="0.35">
      <c r="A966" t="s">
        <v>1024</v>
      </c>
      <c r="B966">
        <v>6</v>
      </c>
      <c r="C966" t="s">
        <v>33</v>
      </c>
      <c r="D966" t="s">
        <v>99</v>
      </c>
      <c r="E966">
        <v>49940</v>
      </c>
      <c r="F966" s="1" t="s">
        <v>1060</v>
      </c>
      <c r="G966" t="s">
        <v>59</v>
      </c>
      <c r="H966">
        <v>3</v>
      </c>
      <c r="I966" t="s">
        <v>25</v>
      </c>
      <c r="J966">
        <v>1</v>
      </c>
      <c r="K966" t="s">
        <v>42</v>
      </c>
      <c r="L966">
        <v>22</v>
      </c>
      <c r="M966" t="s">
        <v>27</v>
      </c>
      <c r="N966" t="s">
        <v>28</v>
      </c>
      <c r="O966">
        <v>1</v>
      </c>
      <c r="P966" t="s">
        <v>39</v>
      </c>
      <c r="Q966">
        <v>1</v>
      </c>
      <c r="R966" t="s">
        <v>27</v>
      </c>
      <c r="S966" t="s">
        <v>30</v>
      </c>
      <c r="T966" t="s">
        <v>31</v>
      </c>
    </row>
    <row r="967" spans="1:20" x14ac:dyDescent="0.35">
      <c r="A967" t="s">
        <v>1025</v>
      </c>
      <c r="B967">
        <v>30</v>
      </c>
      <c r="C967" t="s">
        <v>33</v>
      </c>
      <c r="D967" t="s">
        <v>22</v>
      </c>
      <c r="E967">
        <v>188650</v>
      </c>
      <c r="F967" s="2" t="s">
        <v>23</v>
      </c>
      <c r="G967" t="s">
        <v>34</v>
      </c>
      <c r="H967">
        <v>4</v>
      </c>
      <c r="I967" t="s">
        <v>35</v>
      </c>
      <c r="J967">
        <v>1</v>
      </c>
      <c r="K967" t="s">
        <v>52</v>
      </c>
      <c r="L967">
        <v>26</v>
      </c>
      <c r="M967" t="s">
        <v>27</v>
      </c>
      <c r="N967" t="s">
        <v>28</v>
      </c>
      <c r="O967">
        <v>1</v>
      </c>
      <c r="P967" t="s">
        <v>29</v>
      </c>
      <c r="Q967">
        <v>1</v>
      </c>
      <c r="R967" t="s">
        <v>27</v>
      </c>
      <c r="S967" t="s">
        <v>30</v>
      </c>
      <c r="T967" t="s">
        <v>31</v>
      </c>
    </row>
    <row r="968" spans="1:20" x14ac:dyDescent="0.35">
      <c r="A968" t="s">
        <v>1026</v>
      </c>
      <c r="B968">
        <v>27</v>
      </c>
      <c r="C968" t="s">
        <v>21</v>
      </c>
      <c r="D968" t="s">
        <v>22</v>
      </c>
      <c r="E968">
        <v>277200</v>
      </c>
      <c r="F968" s="1" t="s">
        <v>1061</v>
      </c>
      <c r="G968" t="s">
        <v>34</v>
      </c>
      <c r="H968">
        <v>4</v>
      </c>
      <c r="I968" t="s">
        <v>25</v>
      </c>
      <c r="J968">
        <v>2</v>
      </c>
      <c r="K968" t="s">
        <v>42</v>
      </c>
      <c r="L968">
        <v>23</v>
      </c>
      <c r="M968" t="s">
        <v>27</v>
      </c>
      <c r="N968" t="s">
        <v>28</v>
      </c>
      <c r="O968">
        <v>2</v>
      </c>
      <c r="P968" t="s">
        <v>39</v>
      </c>
      <c r="Q968">
        <v>1</v>
      </c>
      <c r="R968" t="s">
        <v>27</v>
      </c>
      <c r="S968" t="s">
        <v>30</v>
      </c>
      <c r="T968" t="s">
        <v>31</v>
      </c>
    </row>
    <row r="969" spans="1:20" x14ac:dyDescent="0.35">
      <c r="A969" t="s">
        <v>1027</v>
      </c>
      <c r="B969">
        <v>15</v>
      </c>
      <c r="C969" t="s">
        <v>33</v>
      </c>
      <c r="D969" t="s">
        <v>22</v>
      </c>
      <c r="E969">
        <v>392480</v>
      </c>
      <c r="F969" s="2" t="s">
        <v>1060</v>
      </c>
      <c r="G969" t="s">
        <v>24</v>
      </c>
      <c r="H969">
        <v>4</v>
      </c>
      <c r="I969" t="s">
        <v>35</v>
      </c>
      <c r="J969">
        <v>2</v>
      </c>
      <c r="K969" t="s">
        <v>52</v>
      </c>
      <c r="L969">
        <v>54</v>
      </c>
      <c r="M969" t="s">
        <v>69</v>
      </c>
      <c r="N969" t="s">
        <v>53</v>
      </c>
      <c r="O969">
        <v>1</v>
      </c>
      <c r="P969" t="s">
        <v>54</v>
      </c>
      <c r="Q969">
        <v>1</v>
      </c>
      <c r="R969" t="s">
        <v>30</v>
      </c>
      <c r="S969" t="s">
        <v>30</v>
      </c>
      <c r="T969" t="s">
        <v>31</v>
      </c>
    </row>
    <row r="970" spans="1:20" x14ac:dyDescent="0.35">
      <c r="A970" t="s">
        <v>1028</v>
      </c>
      <c r="B970">
        <v>42</v>
      </c>
      <c r="C970" t="s">
        <v>33</v>
      </c>
      <c r="D970" t="s">
        <v>22</v>
      </c>
      <c r="E970">
        <v>788260</v>
      </c>
      <c r="F970" s="1" t="s">
        <v>23</v>
      </c>
      <c r="G970" t="s">
        <v>38</v>
      </c>
      <c r="H970">
        <v>2</v>
      </c>
      <c r="I970" t="s">
        <v>25</v>
      </c>
      <c r="J970">
        <v>4</v>
      </c>
      <c r="K970" t="s">
        <v>42</v>
      </c>
      <c r="L970">
        <v>29</v>
      </c>
      <c r="M970" t="s">
        <v>27</v>
      </c>
      <c r="N970" t="s">
        <v>53</v>
      </c>
      <c r="O970">
        <v>1</v>
      </c>
      <c r="P970" t="s">
        <v>29</v>
      </c>
      <c r="Q970">
        <v>1</v>
      </c>
      <c r="R970" t="s">
        <v>30</v>
      </c>
      <c r="S970" t="s">
        <v>30</v>
      </c>
      <c r="T970" t="s">
        <v>31</v>
      </c>
    </row>
    <row r="971" spans="1:20" x14ac:dyDescent="0.35">
      <c r="A971" t="s">
        <v>1029</v>
      </c>
      <c r="B971">
        <v>11</v>
      </c>
      <c r="C971" t="s">
        <v>21</v>
      </c>
      <c r="D971" t="s">
        <v>46</v>
      </c>
      <c r="E971">
        <v>433290</v>
      </c>
      <c r="F971" s="2" t="s">
        <v>1060</v>
      </c>
      <c r="G971" t="s">
        <v>34</v>
      </c>
      <c r="H971">
        <v>1</v>
      </c>
      <c r="I971" t="s">
        <v>25</v>
      </c>
      <c r="J971">
        <v>2</v>
      </c>
      <c r="K971" t="s">
        <v>26</v>
      </c>
      <c r="L971">
        <v>40</v>
      </c>
      <c r="M971" t="s">
        <v>27</v>
      </c>
      <c r="N971" t="s">
        <v>28</v>
      </c>
      <c r="O971">
        <v>2</v>
      </c>
      <c r="P971" t="s">
        <v>39</v>
      </c>
      <c r="Q971">
        <v>2</v>
      </c>
      <c r="R971" t="s">
        <v>27</v>
      </c>
      <c r="S971" t="s">
        <v>30</v>
      </c>
      <c r="T971" t="s">
        <v>31</v>
      </c>
    </row>
    <row r="972" spans="1:20" x14ac:dyDescent="0.35">
      <c r="A972" t="s">
        <v>1030</v>
      </c>
      <c r="B972">
        <v>15</v>
      </c>
      <c r="C972" t="s">
        <v>33</v>
      </c>
      <c r="D972" t="s">
        <v>99</v>
      </c>
      <c r="E972">
        <v>166540</v>
      </c>
      <c r="F972" s="1" t="s">
        <v>1063</v>
      </c>
      <c r="G972" t="s">
        <v>34</v>
      </c>
      <c r="H972">
        <v>4</v>
      </c>
      <c r="I972" t="s">
        <v>25</v>
      </c>
      <c r="J972">
        <v>2</v>
      </c>
      <c r="K972" t="s">
        <v>26</v>
      </c>
      <c r="L972">
        <v>22</v>
      </c>
      <c r="M972" t="s">
        <v>27</v>
      </c>
      <c r="N972" t="s">
        <v>28</v>
      </c>
      <c r="O972">
        <v>1</v>
      </c>
      <c r="P972" t="s">
        <v>29</v>
      </c>
      <c r="Q972">
        <v>1</v>
      </c>
      <c r="R972" t="s">
        <v>27</v>
      </c>
      <c r="S972" t="s">
        <v>30</v>
      </c>
      <c r="T972" t="s">
        <v>31</v>
      </c>
    </row>
    <row r="973" spans="1:20" x14ac:dyDescent="0.35">
      <c r="A973" t="s">
        <v>1031</v>
      </c>
      <c r="B973">
        <v>24</v>
      </c>
      <c r="C973" t="s">
        <v>33</v>
      </c>
      <c r="D973" t="s">
        <v>46</v>
      </c>
      <c r="E973">
        <v>813230</v>
      </c>
      <c r="F973" s="2" t="s">
        <v>1060</v>
      </c>
      <c r="G973" t="s">
        <v>34</v>
      </c>
      <c r="H973">
        <v>1</v>
      </c>
      <c r="I973" t="s">
        <v>25</v>
      </c>
      <c r="J973">
        <v>4</v>
      </c>
      <c r="K973" t="s">
        <v>42</v>
      </c>
      <c r="L973">
        <v>43</v>
      </c>
      <c r="M973" t="s">
        <v>27</v>
      </c>
      <c r="N973" t="s">
        <v>28</v>
      </c>
      <c r="O973">
        <v>1</v>
      </c>
      <c r="P973" t="s">
        <v>39</v>
      </c>
      <c r="Q973">
        <v>2</v>
      </c>
      <c r="R973" t="s">
        <v>27</v>
      </c>
      <c r="S973" t="s">
        <v>30</v>
      </c>
      <c r="T973" t="s">
        <v>31</v>
      </c>
    </row>
    <row r="974" spans="1:20" x14ac:dyDescent="0.35">
      <c r="A974" t="s">
        <v>1032</v>
      </c>
      <c r="B974">
        <v>24</v>
      </c>
      <c r="C974" t="s">
        <v>81</v>
      </c>
      <c r="D974" t="s">
        <v>46</v>
      </c>
      <c r="E974">
        <v>131230</v>
      </c>
      <c r="F974" s="1" t="s">
        <v>1060</v>
      </c>
      <c r="G974" t="s">
        <v>57</v>
      </c>
      <c r="H974">
        <v>1</v>
      </c>
      <c r="I974" t="s">
        <v>35</v>
      </c>
      <c r="J974">
        <v>4</v>
      </c>
      <c r="K974" t="s">
        <v>47</v>
      </c>
      <c r="L974">
        <v>29</v>
      </c>
      <c r="M974" t="s">
        <v>27</v>
      </c>
      <c r="N974" t="s">
        <v>53</v>
      </c>
      <c r="O974">
        <v>2</v>
      </c>
      <c r="P974" t="s">
        <v>105</v>
      </c>
      <c r="Q974">
        <v>1</v>
      </c>
      <c r="R974" t="s">
        <v>27</v>
      </c>
      <c r="S974" t="s">
        <v>30</v>
      </c>
      <c r="T974" t="s">
        <v>31</v>
      </c>
    </row>
    <row r="975" spans="1:20" x14ac:dyDescent="0.35">
      <c r="A975" t="s">
        <v>1033</v>
      </c>
      <c r="B975">
        <v>60</v>
      </c>
      <c r="C975" t="s">
        <v>33</v>
      </c>
      <c r="D975" t="s">
        <v>61</v>
      </c>
      <c r="E975">
        <v>802670</v>
      </c>
      <c r="F975" s="2" t="s">
        <v>1060</v>
      </c>
      <c r="G975" t="s">
        <v>24</v>
      </c>
      <c r="H975">
        <v>4</v>
      </c>
      <c r="I975" t="s">
        <v>25</v>
      </c>
      <c r="J975">
        <v>4</v>
      </c>
      <c r="K975" t="s">
        <v>47</v>
      </c>
      <c r="L975">
        <v>36</v>
      </c>
      <c r="M975" t="s">
        <v>27</v>
      </c>
      <c r="N975" t="s">
        <v>53</v>
      </c>
      <c r="O975">
        <v>1</v>
      </c>
      <c r="P975" t="s">
        <v>29</v>
      </c>
      <c r="Q975">
        <v>1</v>
      </c>
      <c r="R975" t="s">
        <v>27</v>
      </c>
      <c r="S975" t="s">
        <v>30</v>
      </c>
      <c r="T975" t="s">
        <v>31</v>
      </c>
    </row>
    <row r="976" spans="1:20" x14ac:dyDescent="0.35">
      <c r="A976" t="s">
        <v>1034</v>
      </c>
      <c r="B976">
        <v>30</v>
      </c>
      <c r="C976" t="s">
        <v>21</v>
      </c>
      <c r="D976" t="s">
        <v>22</v>
      </c>
      <c r="E976">
        <v>311410</v>
      </c>
      <c r="F976" s="1" t="s">
        <v>1060</v>
      </c>
      <c r="G976" t="s">
        <v>34</v>
      </c>
      <c r="H976">
        <v>4</v>
      </c>
      <c r="I976" t="s">
        <v>35</v>
      </c>
      <c r="J976">
        <v>2</v>
      </c>
      <c r="K976" t="s">
        <v>52</v>
      </c>
      <c r="L976">
        <v>33</v>
      </c>
      <c r="M976" t="s">
        <v>27</v>
      </c>
      <c r="N976" t="s">
        <v>28</v>
      </c>
      <c r="O976">
        <v>1</v>
      </c>
      <c r="P976" t="s">
        <v>29</v>
      </c>
      <c r="Q976">
        <v>1</v>
      </c>
      <c r="R976" t="s">
        <v>30</v>
      </c>
      <c r="S976" t="s">
        <v>30</v>
      </c>
      <c r="T976" t="s">
        <v>31</v>
      </c>
    </row>
    <row r="977" spans="1:20" x14ac:dyDescent="0.35">
      <c r="A977" t="s">
        <v>1035</v>
      </c>
      <c r="B977">
        <v>24</v>
      </c>
      <c r="C977" t="s">
        <v>33</v>
      </c>
      <c r="D977" t="s">
        <v>22</v>
      </c>
      <c r="E977">
        <v>138380</v>
      </c>
      <c r="F977" s="2" t="s">
        <v>1061</v>
      </c>
      <c r="G977" t="s">
        <v>34</v>
      </c>
      <c r="H977">
        <v>3</v>
      </c>
      <c r="I977" t="s">
        <v>35</v>
      </c>
      <c r="J977">
        <v>3</v>
      </c>
      <c r="K977" t="s">
        <v>52</v>
      </c>
      <c r="L977">
        <v>57</v>
      </c>
      <c r="M977" t="s">
        <v>27</v>
      </c>
      <c r="N977" t="s">
        <v>28</v>
      </c>
      <c r="O977">
        <v>1</v>
      </c>
      <c r="P977" t="s">
        <v>39</v>
      </c>
      <c r="Q977">
        <v>1</v>
      </c>
      <c r="R977" t="s">
        <v>27</v>
      </c>
      <c r="S977" t="s">
        <v>30</v>
      </c>
      <c r="T977" t="s">
        <v>31</v>
      </c>
    </row>
    <row r="978" spans="1:20" x14ac:dyDescent="0.35">
      <c r="A978" t="s">
        <v>1036</v>
      </c>
      <c r="B978">
        <v>6</v>
      </c>
      <c r="C978" t="s">
        <v>33</v>
      </c>
      <c r="D978" t="s">
        <v>22</v>
      </c>
      <c r="E978">
        <v>82830</v>
      </c>
      <c r="F978" s="1" t="s">
        <v>1060</v>
      </c>
      <c r="G978" t="s">
        <v>34</v>
      </c>
      <c r="H978">
        <v>2</v>
      </c>
      <c r="I978" t="s">
        <v>35</v>
      </c>
      <c r="J978">
        <v>3</v>
      </c>
      <c r="K978" t="s">
        <v>26</v>
      </c>
      <c r="L978">
        <v>64</v>
      </c>
      <c r="M978" t="s">
        <v>27</v>
      </c>
      <c r="N978" t="s">
        <v>28</v>
      </c>
      <c r="O978">
        <v>1</v>
      </c>
      <c r="P978" t="s">
        <v>29</v>
      </c>
      <c r="Q978">
        <v>1</v>
      </c>
      <c r="R978" t="s">
        <v>27</v>
      </c>
      <c r="S978" t="s">
        <v>30</v>
      </c>
      <c r="T978" t="s">
        <v>31</v>
      </c>
    </row>
    <row r="979" spans="1:20" x14ac:dyDescent="0.35">
      <c r="A979" t="s">
        <v>1037</v>
      </c>
      <c r="B979">
        <v>18</v>
      </c>
      <c r="C979" t="s">
        <v>45</v>
      </c>
      <c r="D979" t="s">
        <v>61</v>
      </c>
      <c r="E979">
        <v>266970</v>
      </c>
      <c r="F979" s="2" t="s">
        <v>23</v>
      </c>
      <c r="G979" t="s">
        <v>24</v>
      </c>
      <c r="H979">
        <v>4</v>
      </c>
      <c r="I979" t="s">
        <v>25</v>
      </c>
      <c r="J979">
        <v>2</v>
      </c>
      <c r="K979" t="s">
        <v>42</v>
      </c>
      <c r="L979">
        <v>42</v>
      </c>
      <c r="M979" t="s">
        <v>27</v>
      </c>
      <c r="N979" t="s">
        <v>28</v>
      </c>
      <c r="O979">
        <v>2</v>
      </c>
      <c r="P979" t="s">
        <v>29</v>
      </c>
      <c r="Q979">
        <v>1</v>
      </c>
      <c r="R979" t="s">
        <v>27</v>
      </c>
      <c r="S979" t="s">
        <v>30</v>
      </c>
      <c r="T979" t="s">
        <v>31</v>
      </c>
    </row>
    <row r="980" spans="1:20" x14ac:dyDescent="0.35">
      <c r="A980" t="s">
        <v>1038</v>
      </c>
      <c r="B980">
        <v>24</v>
      </c>
      <c r="C980" t="s">
        <v>45</v>
      </c>
      <c r="D980" t="s">
        <v>46</v>
      </c>
      <c r="E980">
        <v>279180</v>
      </c>
      <c r="F980" s="1" t="s">
        <v>1060</v>
      </c>
      <c r="G980" t="s">
        <v>24</v>
      </c>
      <c r="H980">
        <v>4</v>
      </c>
      <c r="I980" t="s">
        <v>25</v>
      </c>
      <c r="J980">
        <v>4</v>
      </c>
      <c r="K980" t="s">
        <v>52</v>
      </c>
      <c r="L980">
        <v>47</v>
      </c>
      <c r="M980" t="s">
        <v>27</v>
      </c>
      <c r="N980" t="s">
        <v>28</v>
      </c>
      <c r="O980">
        <v>2</v>
      </c>
      <c r="P980" t="s">
        <v>39</v>
      </c>
      <c r="Q980">
        <v>2</v>
      </c>
      <c r="R980" t="s">
        <v>27</v>
      </c>
      <c r="S980" t="s">
        <v>30</v>
      </c>
      <c r="T980" t="s">
        <v>31</v>
      </c>
    </row>
    <row r="981" spans="1:20" x14ac:dyDescent="0.35">
      <c r="A981" t="s">
        <v>1039</v>
      </c>
      <c r="B981">
        <v>15</v>
      </c>
      <c r="C981" t="s">
        <v>81</v>
      </c>
      <c r="D981" t="s">
        <v>46</v>
      </c>
      <c r="E981">
        <v>139040</v>
      </c>
      <c r="F981" s="2" t="s">
        <v>1063</v>
      </c>
      <c r="G981" t="s">
        <v>34</v>
      </c>
      <c r="H981">
        <v>2</v>
      </c>
      <c r="I981" t="s">
        <v>25</v>
      </c>
      <c r="J981">
        <v>2</v>
      </c>
      <c r="K981" t="s">
        <v>42</v>
      </c>
      <c r="L981">
        <v>25</v>
      </c>
      <c r="M981" t="s">
        <v>27</v>
      </c>
      <c r="N981" t="s">
        <v>53</v>
      </c>
      <c r="O981">
        <v>1</v>
      </c>
      <c r="P981" t="s">
        <v>29</v>
      </c>
      <c r="Q981">
        <v>1</v>
      </c>
      <c r="R981" t="s">
        <v>27</v>
      </c>
      <c r="S981" t="s">
        <v>30</v>
      </c>
      <c r="T981" t="s">
        <v>31</v>
      </c>
    </row>
    <row r="982" spans="1:20" x14ac:dyDescent="0.35">
      <c r="A982" t="s">
        <v>1040</v>
      </c>
      <c r="B982">
        <v>30</v>
      </c>
      <c r="C982" t="s">
        <v>21</v>
      </c>
      <c r="D982" t="s">
        <v>41</v>
      </c>
      <c r="E982">
        <v>922460</v>
      </c>
      <c r="F982" s="1" t="s">
        <v>1060</v>
      </c>
      <c r="G982" t="s">
        <v>38</v>
      </c>
      <c r="H982">
        <v>2</v>
      </c>
      <c r="I982" t="s">
        <v>25</v>
      </c>
      <c r="J982">
        <v>2</v>
      </c>
      <c r="K982" t="s">
        <v>42</v>
      </c>
      <c r="L982">
        <v>49</v>
      </c>
      <c r="M982" t="s">
        <v>27</v>
      </c>
      <c r="N982" t="s">
        <v>28</v>
      </c>
      <c r="O982">
        <v>1</v>
      </c>
      <c r="P982" t="s">
        <v>29</v>
      </c>
      <c r="Q982">
        <v>1</v>
      </c>
      <c r="R982" t="s">
        <v>27</v>
      </c>
      <c r="S982" t="s">
        <v>30</v>
      </c>
      <c r="T982" t="s">
        <v>31</v>
      </c>
    </row>
    <row r="983" spans="1:20" x14ac:dyDescent="0.35">
      <c r="A983" t="s">
        <v>1041</v>
      </c>
      <c r="B983">
        <v>48</v>
      </c>
      <c r="C983" t="s">
        <v>33</v>
      </c>
      <c r="D983" t="s">
        <v>61</v>
      </c>
      <c r="E983">
        <v>532840</v>
      </c>
      <c r="F983" s="2" t="s">
        <v>1060</v>
      </c>
      <c r="G983" t="s">
        <v>57</v>
      </c>
      <c r="H983">
        <v>3</v>
      </c>
      <c r="I983" t="s">
        <v>25</v>
      </c>
      <c r="J983">
        <v>2</v>
      </c>
      <c r="K983" t="s">
        <v>52</v>
      </c>
      <c r="L983">
        <v>33</v>
      </c>
      <c r="M983" t="s">
        <v>69</v>
      </c>
      <c r="N983" t="s">
        <v>53</v>
      </c>
      <c r="O983">
        <v>1</v>
      </c>
      <c r="P983" t="s">
        <v>54</v>
      </c>
      <c r="Q983">
        <v>1</v>
      </c>
      <c r="R983" t="s">
        <v>30</v>
      </c>
      <c r="S983" t="s">
        <v>30</v>
      </c>
      <c r="T983" t="s">
        <v>31</v>
      </c>
    </row>
    <row r="984" spans="1:20" x14ac:dyDescent="0.35">
      <c r="A984" t="s">
        <v>1042</v>
      </c>
      <c r="B984">
        <v>21</v>
      </c>
      <c r="C984" t="s">
        <v>33</v>
      </c>
      <c r="D984" t="s">
        <v>46</v>
      </c>
      <c r="E984">
        <v>321530</v>
      </c>
      <c r="F984" s="1" t="s">
        <v>1063</v>
      </c>
      <c r="G984" t="s">
        <v>34</v>
      </c>
      <c r="H984">
        <v>1</v>
      </c>
      <c r="I984" t="s">
        <v>35</v>
      </c>
      <c r="J984">
        <v>1</v>
      </c>
      <c r="K984" t="s">
        <v>52</v>
      </c>
      <c r="L984">
        <v>28</v>
      </c>
      <c r="M984" t="s">
        <v>69</v>
      </c>
      <c r="N984" t="s">
        <v>28</v>
      </c>
      <c r="O984">
        <v>1</v>
      </c>
      <c r="P984" t="s">
        <v>54</v>
      </c>
      <c r="Q984">
        <v>1</v>
      </c>
      <c r="R984" t="s">
        <v>30</v>
      </c>
      <c r="S984" t="s">
        <v>30</v>
      </c>
      <c r="T984" t="s">
        <v>31</v>
      </c>
    </row>
    <row r="985" spans="1:20" x14ac:dyDescent="0.35">
      <c r="A985" t="s">
        <v>1043</v>
      </c>
      <c r="B985">
        <v>36</v>
      </c>
      <c r="C985" t="s">
        <v>33</v>
      </c>
      <c r="D985" t="s">
        <v>51</v>
      </c>
      <c r="E985">
        <v>905190</v>
      </c>
      <c r="F985" s="2" t="s">
        <v>1060</v>
      </c>
      <c r="G985" t="s">
        <v>34</v>
      </c>
      <c r="H985">
        <v>2</v>
      </c>
      <c r="I985" t="s">
        <v>25</v>
      </c>
      <c r="J985">
        <v>2</v>
      </c>
      <c r="K985" t="s">
        <v>42</v>
      </c>
      <c r="L985">
        <v>26</v>
      </c>
      <c r="M985" t="s">
        <v>27</v>
      </c>
      <c r="N985" t="s">
        <v>28</v>
      </c>
      <c r="O985">
        <v>1</v>
      </c>
      <c r="P985" t="s">
        <v>29</v>
      </c>
      <c r="Q985">
        <v>2</v>
      </c>
      <c r="R985" t="s">
        <v>27</v>
      </c>
      <c r="S985" t="s">
        <v>30</v>
      </c>
      <c r="T985" t="s">
        <v>31</v>
      </c>
    </row>
    <row r="986" spans="1:20" x14ac:dyDescent="0.35">
      <c r="A986" t="s">
        <v>1044</v>
      </c>
      <c r="B986">
        <v>24</v>
      </c>
      <c r="C986" t="s">
        <v>21</v>
      </c>
      <c r="D986" t="s">
        <v>41</v>
      </c>
      <c r="E986">
        <v>223080</v>
      </c>
      <c r="F986" s="1" t="s">
        <v>1060</v>
      </c>
      <c r="G986" t="s">
        <v>38</v>
      </c>
      <c r="H986">
        <v>2</v>
      </c>
      <c r="I986" t="s">
        <v>25</v>
      </c>
      <c r="J986">
        <v>2</v>
      </c>
      <c r="K986" t="s">
        <v>42</v>
      </c>
      <c r="L986">
        <v>30</v>
      </c>
      <c r="M986" t="s">
        <v>27</v>
      </c>
      <c r="N986" t="s">
        <v>28</v>
      </c>
      <c r="O986">
        <v>2</v>
      </c>
      <c r="P986" t="s">
        <v>39</v>
      </c>
      <c r="Q986">
        <v>1</v>
      </c>
      <c r="R986" t="s">
        <v>27</v>
      </c>
      <c r="S986" t="s">
        <v>30</v>
      </c>
      <c r="T986" t="s">
        <v>31</v>
      </c>
    </row>
    <row r="987" spans="1:20" x14ac:dyDescent="0.35">
      <c r="A987" t="s">
        <v>1045</v>
      </c>
      <c r="B987">
        <v>15</v>
      </c>
      <c r="C987" t="s">
        <v>21</v>
      </c>
      <c r="D987" t="s">
        <v>41</v>
      </c>
      <c r="E987">
        <v>157630</v>
      </c>
      <c r="F987" s="2" t="s">
        <v>1060</v>
      </c>
      <c r="G987" t="s">
        <v>34</v>
      </c>
      <c r="H987">
        <v>4</v>
      </c>
      <c r="I987" t="s">
        <v>35</v>
      </c>
      <c r="J987">
        <v>3</v>
      </c>
      <c r="K987" t="s">
        <v>42</v>
      </c>
      <c r="L987">
        <v>25</v>
      </c>
      <c r="M987" t="s">
        <v>27</v>
      </c>
      <c r="N987" t="s">
        <v>53</v>
      </c>
      <c r="O987">
        <v>2</v>
      </c>
      <c r="P987" t="s">
        <v>29</v>
      </c>
      <c r="Q987">
        <v>1</v>
      </c>
      <c r="R987" t="s">
        <v>27</v>
      </c>
      <c r="S987" t="s">
        <v>30</v>
      </c>
      <c r="T987" t="s">
        <v>31</v>
      </c>
    </row>
    <row r="988" spans="1:20" x14ac:dyDescent="0.35">
      <c r="A988" t="s">
        <v>1046</v>
      </c>
      <c r="B988">
        <v>42</v>
      </c>
      <c r="C988" t="s">
        <v>68</v>
      </c>
      <c r="D988" t="s">
        <v>61</v>
      </c>
      <c r="E988">
        <v>691790</v>
      </c>
      <c r="F988" s="1" t="s">
        <v>1060</v>
      </c>
      <c r="G988" t="s">
        <v>59</v>
      </c>
      <c r="H988">
        <v>2</v>
      </c>
      <c r="I988" t="s">
        <v>25</v>
      </c>
      <c r="J988">
        <v>1</v>
      </c>
      <c r="K988" t="s">
        <v>42</v>
      </c>
      <c r="L988">
        <v>33</v>
      </c>
      <c r="M988" t="s">
        <v>27</v>
      </c>
      <c r="N988" t="s">
        <v>28</v>
      </c>
      <c r="O988">
        <v>2</v>
      </c>
      <c r="P988" t="s">
        <v>29</v>
      </c>
      <c r="Q988">
        <v>1</v>
      </c>
      <c r="R988" t="s">
        <v>27</v>
      </c>
      <c r="S988" t="s">
        <v>30</v>
      </c>
      <c r="T988" t="s">
        <v>31</v>
      </c>
    </row>
    <row r="989" spans="1:20" x14ac:dyDescent="0.35">
      <c r="A989" t="s">
        <v>1047</v>
      </c>
      <c r="B989">
        <v>13</v>
      </c>
      <c r="C989" t="s">
        <v>33</v>
      </c>
      <c r="D989" t="s">
        <v>22</v>
      </c>
      <c r="E989">
        <v>154990</v>
      </c>
      <c r="F989" s="2" t="s">
        <v>1063</v>
      </c>
      <c r="G989" t="s">
        <v>57</v>
      </c>
      <c r="H989">
        <v>2</v>
      </c>
      <c r="I989" t="s">
        <v>35</v>
      </c>
      <c r="J989">
        <v>4</v>
      </c>
      <c r="K989" t="s">
        <v>26</v>
      </c>
      <c r="L989">
        <v>64</v>
      </c>
      <c r="M989" t="s">
        <v>27</v>
      </c>
      <c r="N989" t="s">
        <v>28</v>
      </c>
      <c r="O989">
        <v>1</v>
      </c>
      <c r="P989" t="s">
        <v>29</v>
      </c>
      <c r="Q989">
        <v>1</v>
      </c>
      <c r="R989" t="s">
        <v>27</v>
      </c>
      <c r="S989" t="s">
        <v>30</v>
      </c>
      <c r="T989" t="s">
        <v>31</v>
      </c>
    </row>
    <row r="990" spans="1:20" x14ac:dyDescent="0.35">
      <c r="A990" t="s">
        <v>1048</v>
      </c>
      <c r="B990">
        <v>24</v>
      </c>
      <c r="C990" t="s">
        <v>33</v>
      </c>
      <c r="D990" t="s">
        <v>51</v>
      </c>
      <c r="E990">
        <v>723690</v>
      </c>
      <c r="F990" s="1" t="s">
        <v>1060</v>
      </c>
      <c r="G990" t="s">
        <v>57</v>
      </c>
      <c r="H990">
        <v>4</v>
      </c>
      <c r="I990" t="s">
        <v>25</v>
      </c>
      <c r="J990">
        <v>2</v>
      </c>
      <c r="K990" t="s">
        <v>47</v>
      </c>
      <c r="L990">
        <v>29</v>
      </c>
      <c r="M990" t="s">
        <v>27</v>
      </c>
      <c r="N990" t="s">
        <v>43</v>
      </c>
      <c r="O990">
        <v>1</v>
      </c>
      <c r="P990" t="s">
        <v>54</v>
      </c>
      <c r="Q990">
        <v>1</v>
      </c>
      <c r="R990" t="s">
        <v>30</v>
      </c>
      <c r="S990" t="s">
        <v>30</v>
      </c>
      <c r="T990" t="s">
        <v>31</v>
      </c>
    </row>
    <row r="991" spans="1:20" x14ac:dyDescent="0.35">
      <c r="A991" t="s">
        <v>1049</v>
      </c>
      <c r="B991">
        <v>24</v>
      </c>
      <c r="C991" t="s">
        <v>21</v>
      </c>
      <c r="D991" t="s">
        <v>22</v>
      </c>
      <c r="E991">
        <v>191730</v>
      </c>
      <c r="F991" s="2" t="s">
        <v>1060</v>
      </c>
      <c r="G991" t="s">
        <v>24</v>
      </c>
      <c r="H991">
        <v>4</v>
      </c>
      <c r="I991" t="s">
        <v>25</v>
      </c>
      <c r="J991">
        <v>2</v>
      </c>
      <c r="K991" t="s">
        <v>42</v>
      </c>
      <c r="L991">
        <v>48</v>
      </c>
      <c r="M991" t="s">
        <v>27</v>
      </c>
      <c r="N991" t="s">
        <v>28</v>
      </c>
      <c r="O991">
        <v>2</v>
      </c>
      <c r="P991" t="s">
        <v>39</v>
      </c>
      <c r="Q991">
        <v>1</v>
      </c>
      <c r="R991" t="s">
        <v>27</v>
      </c>
      <c r="S991" t="s">
        <v>30</v>
      </c>
      <c r="T991" t="s">
        <v>31</v>
      </c>
    </row>
    <row r="992" spans="1:20" x14ac:dyDescent="0.35">
      <c r="A992" t="s">
        <v>1050</v>
      </c>
      <c r="B992">
        <v>12</v>
      </c>
      <c r="C992" t="s">
        <v>21</v>
      </c>
      <c r="D992" t="s">
        <v>37</v>
      </c>
      <c r="E992">
        <v>392150</v>
      </c>
      <c r="F992" s="1" t="s">
        <v>23</v>
      </c>
      <c r="G992" t="s">
        <v>59</v>
      </c>
      <c r="H992">
        <v>2</v>
      </c>
      <c r="I992" t="s">
        <v>25</v>
      </c>
      <c r="J992">
        <v>1</v>
      </c>
      <c r="K992" t="s">
        <v>42</v>
      </c>
      <c r="L992">
        <v>37</v>
      </c>
      <c r="M992" t="s">
        <v>27</v>
      </c>
      <c r="N992" t="s">
        <v>28</v>
      </c>
      <c r="O992">
        <v>2</v>
      </c>
      <c r="P992" t="s">
        <v>39</v>
      </c>
      <c r="Q992">
        <v>2</v>
      </c>
      <c r="R992" t="s">
        <v>27</v>
      </c>
      <c r="S992" t="s">
        <v>30</v>
      </c>
      <c r="T992" t="s">
        <v>31</v>
      </c>
    </row>
    <row r="993" spans="1:20" x14ac:dyDescent="0.35">
      <c r="A993" t="s">
        <v>1051</v>
      </c>
      <c r="B993">
        <v>15</v>
      </c>
      <c r="C993" t="s">
        <v>81</v>
      </c>
      <c r="D993" t="s">
        <v>22</v>
      </c>
      <c r="E993">
        <v>172590</v>
      </c>
      <c r="F993" s="2" t="s">
        <v>1063</v>
      </c>
      <c r="G993" t="s">
        <v>24</v>
      </c>
      <c r="H993">
        <v>4</v>
      </c>
      <c r="I993" t="s">
        <v>25</v>
      </c>
      <c r="J993">
        <v>4</v>
      </c>
      <c r="K993" t="s">
        <v>52</v>
      </c>
      <c r="L993">
        <v>34</v>
      </c>
      <c r="M993" t="s">
        <v>69</v>
      </c>
      <c r="N993" t="s">
        <v>28</v>
      </c>
      <c r="O993">
        <v>1</v>
      </c>
      <c r="P993" t="s">
        <v>39</v>
      </c>
      <c r="Q993">
        <v>2</v>
      </c>
      <c r="R993" t="s">
        <v>27</v>
      </c>
      <c r="S993" t="s">
        <v>30</v>
      </c>
      <c r="T993" t="s">
        <v>31</v>
      </c>
    </row>
    <row r="994" spans="1:20" x14ac:dyDescent="0.35">
      <c r="A994" t="s">
        <v>1052</v>
      </c>
      <c r="B994">
        <v>18</v>
      </c>
      <c r="C994" t="s">
        <v>33</v>
      </c>
      <c r="D994" t="s">
        <v>22</v>
      </c>
      <c r="E994">
        <v>212960</v>
      </c>
      <c r="F994" s="1" t="s">
        <v>23</v>
      </c>
      <c r="G994" t="s">
        <v>38</v>
      </c>
      <c r="H994">
        <v>2</v>
      </c>
      <c r="I994" t="s">
        <v>25</v>
      </c>
      <c r="J994">
        <v>4</v>
      </c>
      <c r="K994" t="s">
        <v>52</v>
      </c>
      <c r="L994">
        <v>23</v>
      </c>
      <c r="M994" t="s">
        <v>27</v>
      </c>
      <c r="N994" t="s">
        <v>53</v>
      </c>
      <c r="O994">
        <v>2</v>
      </c>
      <c r="P994" t="s">
        <v>39</v>
      </c>
      <c r="Q994">
        <v>1</v>
      </c>
      <c r="R994" t="s">
        <v>27</v>
      </c>
      <c r="S994" t="s">
        <v>30</v>
      </c>
      <c r="T994" t="s">
        <v>31</v>
      </c>
    </row>
    <row r="995" spans="1:20" x14ac:dyDescent="0.35">
      <c r="A995" t="s">
        <v>1053</v>
      </c>
      <c r="B995">
        <v>36</v>
      </c>
      <c r="C995" t="s">
        <v>33</v>
      </c>
      <c r="D995" t="s">
        <v>41</v>
      </c>
      <c r="E995">
        <v>435490</v>
      </c>
      <c r="F995" s="2" t="s">
        <v>1060</v>
      </c>
      <c r="G995" t="s">
        <v>57</v>
      </c>
      <c r="H995">
        <v>4</v>
      </c>
      <c r="I995" t="s">
        <v>25</v>
      </c>
      <c r="J995">
        <v>3</v>
      </c>
      <c r="K995" t="s">
        <v>42</v>
      </c>
      <c r="L995">
        <v>30</v>
      </c>
      <c r="M995" t="s">
        <v>27</v>
      </c>
      <c r="N995" t="s">
        <v>28</v>
      </c>
      <c r="O995">
        <v>1</v>
      </c>
      <c r="P995" t="s">
        <v>54</v>
      </c>
      <c r="Q995">
        <v>1</v>
      </c>
      <c r="R995" t="s">
        <v>30</v>
      </c>
      <c r="S995" t="s">
        <v>30</v>
      </c>
      <c r="T995" t="s">
        <v>31</v>
      </c>
    </row>
    <row r="996" spans="1:20" x14ac:dyDescent="0.35">
      <c r="A996" t="s">
        <v>1054</v>
      </c>
      <c r="B996">
        <v>12</v>
      </c>
      <c r="C996" t="s">
        <v>33</v>
      </c>
      <c r="D996" t="s">
        <v>46</v>
      </c>
      <c r="E996">
        <v>262900</v>
      </c>
      <c r="F996" s="1" t="s">
        <v>23</v>
      </c>
      <c r="G996" t="s">
        <v>24</v>
      </c>
      <c r="H996">
        <v>4</v>
      </c>
      <c r="I996" t="s">
        <v>25</v>
      </c>
      <c r="J996">
        <v>3</v>
      </c>
      <c r="K996" t="s">
        <v>52</v>
      </c>
      <c r="L996">
        <v>50</v>
      </c>
      <c r="M996" t="s">
        <v>27</v>
      </c>
      <c r="N996" t="s">
        <v>28</v>
      </c>
      <c r="O996">
        <v>1</v>
      </c>
      <c r="P996" t="s">
        <v>29</v>
      </c>
      <c r="Q996">
        <v>1</v>
      </c>
      <c r="R996" t="s">
        <v>30</v>
      </c>
      <c r="S996" t="s">
        <v>30</v>
      </c>
      <c r="T996" t="s">
        <v>31</v>
      </c>
    </row>
    <row r="997" spans="1:20" x14ac:dyDescent="0.35">
      <c r="A997" t="s">
        <v>1055</v>
      </c>
      <c r="B997">
        <v>12</v>
      </c>
      <c r="C997" t="s">
        <v>33</v>
      </c>
      <c r="D997" t="s">
        <v>41</v>
      </c>
      <c r="E997">
        <v>190960</v>
      </c>
      <c r="F997" s="2" t="s">
        <v>1060</v>
      </c>
      <c r="G997" t="s">
        <v>38</v>
      </c>
      <c r="H997">
        <v>3</v>
      </c>
      <c r="I997" t="s">
        <v>35</v>
      </c>
      <c r="J997">
        <v>4</v>
      </c>
      <c r="K997" t="s">
        <v>26</v>
      </c>
      <c r="L997">
        <v>31</v>
      </c>
      <c r="M997" t="s">
        <v>27</v>
      </c>
      <c r="N997" t="s">
        <v>28</v>
      </c>
      <c r="O997">
        <v>1</v>
      </c>
      <c r="P997" t="s">
        <v>39</v>
      </c>
      <c r="Q997">
        <v>1</v>
      </c>
      <c r="R997" t="s">
        <v>27</v>
      </c>
      <c r="S997" t="s">
        <v>30</v>
      </c>
      <c r="T997" t="s">
        <v>31</v>
      </c>
    </row>
    <row r="998" spans="1:20" x14ac:dyDescent="0.35">
      <c r="A998" t="s">
        <v>1056</v>
      </c>
      <c r="B998">
        <v>30</v>
      </c>
      <c r="C998" t="s">
        <v>33</v>
      </c>
      <c r="D998" t="s">
        <v>51</v>
      </c>
      <c r="E998">
        <v>424270</v>
      </c>
      <c r="F998" s="1" t="s">
        <v>1060</v>
      </c>
      <c r="G998" t="s">
        <v>34</v>
      </c>
      <c r="H998">
        <v>4</v>
      </c>
      <c r="I998" t="s">
        <v>25</v>
      </c>
      <c r="J998">
        <v>4</v>
      </c>
      <c r="K998" t="s">
        <v>42</v>
      </c>
      <c r="L998">
        <v>40</v>
      </c>
      <c r="M998" t="s">
        <v>27</v>
      </c>
      <c r="N998" t="s">
        <v>28</v>
      </c>
      <c r="O998">
        <v>1</v>
      </c>
      <c r="P998" t="s">
        <v>54</v>
      </c>
      <c r="Q998">
        <v>1</v>
      </c>
      <c r="R998" t="s">
        <v>30</v>
      </c>
      <c r="S998" t="s">
        <v>30</v>
      </c>
      <c r="T998" t="s">
        <v>31</v>
      </c>
    </row>
    <row r="999" spans="1:20" x14ac:dyDescent="0.35">
      <c r="A999" t="s">
        <v>1057</v>
      </c>
      <c r="B999">
        <v>12</v>
      </c>
      <c r="C999" t="s">
        <v>33</v>
      </c>
      <c r="D999" t="s">
        <v>22</v>
      </c>
      <c r="E999">
        <v>88440</v>
      </c>
      <c r="F999" s="2" t="s">
        <v>1060</v>
      </c>
      <c r="G999" t="s">
        <v>24</v>
      </c>
      <c r="H999">
        <v>4</v>
      </c>
      <c r="I999" t="s">
        <v>25</v>
      </c>
      <c r="J999">
        <v>4</v>
      </c>
      <c r="K999" t="s">
        <v>52</v>
      </c>
      <c r="L999">
        <v>38</v>
      </c>
      <c r="M999" t="s">
        <v>27</v>
      </c>
      <c r="N999" t="s">
        <v>28</v>
      </c>
      <c r="O999">
        <v>1</v>
      </c>
      <c r="P999" t="s">
        <v>29</v>
      </c>
      <c r="Q999">
        <v>1</v>
      </c>
      <c r="R999" t="s">
        <v>27</v>
      </c>
      <c r="S999" t="s">
        <v>30</v>
      </c>
      <c r="T999" t="s">
        <v>31</v>
      </c>
    </row>
    <row r="1000" spans="1:20" x14ac:dyDescent="0.35">
      <c r="A1000" t="s">
        <v>1058</v>
      </c>
      <c r="B1000">
        <v>45</v>
      </c>
      <c r="C1000" t="s">
        <v>33</v>
      </c>
      <c r="D1000" t="s">
        <v>22</v>
      </c>
      <c r="E1000">
        <v>202950</v>
      </c>
      <c r="F1000" s="1" t="s">
        <v>1060</v>
      </c>
      <c r="G1000" t="s">
        <v>34</v>
      </c>
      <c r="H1000">
        <v>4</v>
      </c>
      <c r="I1000" t="s">
        <v>25</v>
      </c>
      <c r="J1000">
        <v>4</v>
      </c>
      <c r="K1000" t="s">
        <v>47</v>
      </c>
      <c r="L1000">
        <v>23</v>
      </c>
      <c r="M1000" t="s">
        <v>27</v>
      </c>
      <c r="N1000" t="s">
        <v>43</v>
      </c>
      <c r="O1000">
        <v>1</v>
      </c>
      <c r="P1000" t="s">
        <v>29</v>
      </c>
      <c r="Q1000">
        <v>1</v>
      </c>
      <c r="R1000" t="s">
        <v>30</v>
      </c>
      <c r="S1000" t="s">
        <v>30</v>
      </c>
      <c r="T1000" t="s">
        <v>31</v>
      </c>
    </row>
    <row r="1001" spans="1:20" x14ac:dyDescent="0.35">
      <c r="A1001" t="s">
        <v>1059</v>
      </c>
      <c r="B1001">
        <v>45</v>
      </c>
      <c r="C1001" t="s">
        <v>21</v>
      </c>
      <c r="D1001" t="s">
        <v>51</v>
      </c>
      <c r="E1001">
        <v>503360</v>
      </c>
      <c r="F1001" s="2" t="s">
        <v>1063</v>
      </c>
      <c r="G1001" t="s">
        <v>57</v>
      </c>
      <c r="H1001">
        <v>3</v>
      </c>
      <c r="I1001" t="s">
        <v>25</v>
      </c>
      <c r="J1001">
        <v>4</v>
      </c>
      <c r="K1001" t="s">
        <v>52</v>
      </c>
      <c r="L1001">
        <v>27</v>
      </c>
      <c r="M1001" t="s">
        <v>27</v>
      </c>
      <c r="N1001" t="s">
        <v>28</v>
      </c>
      <c r="O1001">
        <v>1</v>
      </c>
      <c r="P1001" t="s">
        <v>29</v>
      </c>
      <c r="Q1001">
        <v>1</v>
      </c>
      <c r="R1001" t="s">
        <v>27</v>
      </c>
      <c r="S1001" t="s">
        <v>30</v>
      </c>
      <c r="T100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F57F-262E-4CDF-B9C0-9CBC9FD618A1}">
  <dimension ref="A1:G35"/>
  <sheetViews>
    <sheetView topLeftCell="A22" workbookViewId="0">
      <selection activeCell="C39" sqref="C39"/>
    </sheetView>
  </sheetViews>
  <sheetFormatPr defaultRowHeight="14.5" x14ac:dyDescent="0.35"/>
  <cols>
    <col min="1" max="1" width="26.453125" bestFit="1" customWidth="1"/>
    <col min="2" max="2" width="10.54296875" bestFit="1" customWidth="1"/>
    <col min="3" max="3" width="16.6328125" bestFit="1" customWidth="1"/>
    <col min="5" max="5" width="23.6328125" bestFit="1" customWidth="1"/>
    <col min="6" max="6" width="10.54296875" bestFit="1" customWidth="1"/>
    <col min="7" max="7" width="16.6328125" bestFit="1" customWidth="1"/>
  </cols>
  <sheetData>
    <row r="1" spans="1:7" ht="15.5" x14ac:dyDescent="0.35">
      <c r="A1" s="5" t="s">
        <v>1064</v>
      </c>
      <c r="B1" s="6"/>
      <c r="C1" s="7"/>
      <c r="E1" s="5" t="s">
        <v>1065</v>
      </c>
      <c r="F1" s="6"/>
      <c r="G1" s="7"/>
    </row>
    <row r="2" spans="1:7" x14ac:dyDescent="0.35">
      <c r="A2" s="8" t="s">
        <v>1066</v>
      </c>
      <c r="B2" s="3" t="s">
        <v>1067</v>
      </c>
      <c r="C2" s="9" t="s">
        <v>1068</v>
      </c>
      <c r="E2" s="8" t="s">
        <v>1066</v>
      </c>
      <c r="F2" s="3" t="s">
        <v>1067</v>
      </c>
      <c r="G2" s="9" t="s">
        <v>1068</v>
      </c>
    </row>
    <row r="3" spans="1:7" x14ac:dyDescent="0.35">
      <c r="A3" s="10" t="s">
        <v>61</v>
      </c>
      <c r="B3" s="4">
        <f>COUNTIF([1]Data!$D$2:$D$1001,A3)</f>
        <v>97</v>
      </c>
      <c r="C3" s="11">
        <f>ROUND(AVERAGEIF([1]Data!$D$2:$D$1001,A3,[1]Data!$E$2:$E$1001),0)</f>
        <v>457385</v>
      </c>
      <c r="E3" s="10" t="s">
        <v>81</v>
      </c>
      <c r="F3" s="4">
        <f>COUNTIF([1]Data!$C$2:$C$1001,E3)</f>
        <v>49</v>
      </c>
      <c r="G3" s="11">
        <f>ROUND(AVERAGEIF([1]Data!$C$2:$C$1001,E3,[1]Data!$E$2:$E$1001),0)</f>
        <v>367937</v>
      </c>
    </row>
    <row r="4" spans="1:7" x14ac:dyDescent="0.35">
      <c r="A4" s="10" t="s">
        <v>94</v>
      </c>
      <c r="B4" s="4">
        <f>COUNTIF([1]Data!$D$2:$D$1001,A4)</f>
        <v>12</v>
      </c>
      <c r="C4" s="11">
        <f>ROUND(AVERAGEIF([1]Data!$D$2:$D$1001,A4,[1]Data!$E$2:$E$1001),0)</f>
        <v>164780</v>
      </c>
      <c r="E4" s="10" t="s">
        <v>21</v>
      </c>
      <c r="F4" s="4">
        <f>COUNTIF([1]Data!$C$2:$C$1001,E4)</f>
        <v>293</v>
      </c>
      <c r="G4" s="11">
        <f>ROUND(AVERAGEIF([1]Data!$C$2:$C$1001,E4,[1]Data!$E$2:$E$1001),0)</f>
        <v>339684</v>
      </c>
    </row>
    <row r="5" spans="1:7" x14ac:dyDescent="0.35">
      <c r="A5" s="10" t="s">
        <v>37</v>
      </c>
      <c r="B5" s="4">
        <f>COUNTIF([1]Data!$D$2:$D$1001,A5)</f>
        <v>50</v>
      </c>
      <c r="C5" s="11">
        <f>ROUND(AVERAGEIF([1]Data!$D$2:$D$1001,A5,[1]Data!$E$2:$E$1001),0)</f>
        <v>349844</v>
      </c>
      <c r="E5" s="10" t="s">
        <v>45</v>
      </c>
      <c r="F5" s="4">
        <f>COUNTIF([1]Data!$C$2:$C$1001,E5)</f>
        <v>88</v>
      </c>
      <c r="G5" s="11">
        <f>ROUND(AVERAGEIF([1]Data!$C$2:$C$1001,E5,[1]Data!$E$2:$E$1001),0)</f>
        <v>473286</v>
      </c>
    </row>
    <row r="6" spans="1:7" x14ac:dyDescent="0.35">
      <c r="A6" s="10" t="s">
        <v>41</v>
      </c>
      <c r="B6" s="4">
        <f>COUNTIF([1]Data!$D$2:$D$1001,A6)</f>
        <v>181</v>
      </c>
      <c r="C6" s="11">
        <f>ROUND(AVERAGEIF([1]Data!$D$2:$D$1001,A6,[1]Data!$E$2:$E$1001),0)</f>
        <v>337369</v>
      </c>
      <c r="E6" s="10" t="s">
        <v>33</v>
      </c>
      <c r="F6" s="4">
        <f>COUNTIF([1]Data!$C$2:$C$1001,E6)</f>
        <v>530</v>
      </c>
      <c r="G6" s="11">
        <f>ROUND(AVERAGEIF([1]Data!$C$2:$C$1001,E6,[1]Data!$E$2:$E$1001),0)</f>
        <v>334505</v>
      </c>
    </row>
    <row r="7" spans="1:7" ht="15" thickBot="1" x14ac:dyDescent="0.4">
      <c r="A7" s="10" t="s">
        <v>46</v>
      </c>
      <c r="B7" s="4">
        <f>COUNTIF([1]Data!$D$2:$D$1001,A7)</f>
        <v>234</v>
      </c>
      <c r="C7" s="11">
        <f>ROUND(AVERAGEIF([1]Data!$D$2:$D$1001,A7,[1]Data!$E$2:$E$1001),0)</f>
        <v>336933</v>
      </c>
      <c r="E7" s="12" t="s">
        <v>68</v>
      </c>
      <c r="F7" s="13">
        <f>COUNTIF([1]Data!$C$2:$C$1001,E7)</f>
        <v>40</v>
      </c>
      <c r="G7" s="14">
        <f>ROUND(AVERAGEIF([1]Data!$C$2:$C$1001,E7,[1]Data!$E$2:$E$1001),0)</f>
        <v>583624</v>
      </c>
    </row>
    <row r="8" spans="1:7" x14ac:dyDescent="0.35">
      <c r="A8" s="10" t="s">
        <v>131</v>
      </c>
      <c r="B8" s="4">
        <f>COUNTIF([1]Data!$D$2:$D$1001,A8)</f>
        <v>12</v>
      </c>
      <c r="C8" s="11">
        <f>ROUND(AVERAGEIF([1]Data!$D$2:$D$1001,A8,[1]Data!$E$2:$E$1001),0)</f>
        <v>903027</v>
      </c>
    </row>
    <row r="9" spans="1:7" x14ac:dyDescent="0.35">
      <c r="A9" s="10" t="s">
        <v>22</v>
      </c>
      <c r="B9" s="4">
        <f>COUNTIF([1]Data!$D$2:$D$1001,A9)</f>
        <v>280</v>
      </c>
      <c r="C9" s="11">
        <f>ROUND(AVERAGEIF([1]Data!$D$2:$D$1001,A9,[1]Data!$E$2:$E$1001),0)</f>
        <v>273642</v>
      </c>
    </row>
    <row r="10" spans="1:7" x14ac:dyDescent="0.35">
      <c r="A10" s="10" t="s">
        <v>99</v>
      </c>
      <c r="B10" s="4">
        <f>COUNTIF([1]Data!$D$2:$D$1001,A10)</f>
        <v>22</v>
      </c>
      <c r="C10" s="11">
        <f>ROUND(AVERAGEIF([1]Data!$D$2:$D$1001,A10,[1]Data!$E$2:$E$1001),0)</f>
        <v>300090</v>
      </c>
    </row>
    <row r="11" spans="1:7" x14ac:dyDescent="0.35">
      <c r="A11" s="10" t="s">
        <v>217</v>
      </c>
      <c r="B11" s="4">
        <f>COUNTIF([1]Data!$D$2:$D$1001,A11)</f>
        <v>9</v>
      </c>
      <c r="C11" s="11">
        <f>ROUND(AVERAGEIF([1]Data!$D$2:$D$1001,A11,[1]Data!$E$2:$E$1001),0)</f>
        <v>132648</v>
      </c>
    </row>
    <row r="12" spans="1:7" ht="15" thickBot="1" x14ac:dyDescent="0.4">
      <c r="A12" s="12" t="s">
        <v>51</v>
      </c>
      <c r="B12" s="13">
        <f>COUNTIF([1]Data!$D$2:$D$1001,A12)</f>
        <v>103</v>
      </c>
      <c r="C12" s="14">
        <f>ROUND(AVERAGEIF([1]Data!$D$2:$D$1001,A12,[1]Data!$E$2:$E$1001),0)</f>
        <v>590725</v>
      </c>
    </row>
    <row r="13" spans="1:7" ht="15" thickBot="1" x14ac:dyDescent="0.4"/>
    <row r="14" spans="1:7" ht="15.5" x14ac:dyDescent="0.35">
      <c r="A14" s="5" t="s">
        <v>1069</v>
      </c>
      <c r="B14" s="6"/>
      <c r="C14" s="7"/>
      <c r="E14" s="5" t="s">
        <v>1070</v>
      </c>
      <c r="F14" s="6"/>
      <c r="G14" s="7"/>
    </row>
    <row r="15" spans="1:7" x14ac:dyDescent="0.35">
      <c r="A15" s="8" t="s">
        <v>1066</v>
      </c>
      <c r="B15" s="3" t="s">
        <v>1067</v>
      </c>
      <c r="C15" s="9" t="s">
        <v>1068</v>
      </c>
      <c r="E15" s="8" t="s">
        <v>1066</v>
      </c>
      <c r="F15" s="3" t="s">
        <v>1067</v>
      </c>
      <c r="G15" s="9" t="s">
        <v>1068</v>
      </c>
    </row>
    <row r="16" spans="1:7" x14ac:dyDescent="0.35">
      <c r="A16" s="10" t="s">
        <v>57</v>
      </c>
      <c r="B16" s="4">
        <f>COUNTIF([1]Data!$G$2:$G$1001,A16)</f>
        <v>62</v>
      </c>
      <c r="C16" s="11">
        <f>ROUND(AVERAGEIF([1]Data!$G$2:$G$1001,A16,[1]Data!$E$2:$E$1001),0)</f>
        <v>463843</v>
      </c>
      <c r="E16" s="10" t="s">
        <v>43</v>
      </c>
      <c r="F16" s="4">
        <f>COUNTIF([1]Data!$N$2:$N$1001,E16)</f>
        <v>108</v>
      </c>
      <c r="G16" s="11">
        <f>ROUND(AVERAGEIF([1]Data!$N$2:$N$1001,E16,[1]Data!$E$2:$E$1001),0)</f>
        <v>539683</v>
      </c>
    </row>
    <row r="17" spans="1:7" x14ac:dyDescent="0.35">
      <c r="A17" s="10" t="s">
        <v>59</v>
      </c>
      <c r="B17" s="4">
        <f>COUNTIF([1]Data!$G$2:$G$1001,A17)</f>
        <v>172</v>
      </c>
      <c r="C17" s="11">
        <f>ROUND(AVERAGEIF([1]Data!$G$2:$G$1001,A17,[1]Data!$E$2:$E$1001),0)</f>
        <v>324770</v>
      </c>
      <c r="E17" s="10" t="s">
        <v>28</v>
      </c>
      <c r="F17" s="4">
        <f>COUNTIF([1]Data!$N$2:$N$1001,E17)</f>
        <v>713</v>
      </c>
      <c r="G17" s="11">
        <f>ROUND(AVERAGEIF([1]Data!$N$2:$N$1001,E17,[1]Data!$E$2:$E$1001),0)</f>
        <v>336703</v>
      </c>
    </row>
    <row r="18" spans="1:7" ht="15" thickBot="1" x14ac:dyDescent="0.4">
      <c r="A18" s="10" t="s">
        <v>34</v>
      </c>
      <c r="B18" s="4">
        <f>COUNTIF([1]Data!$G$2:$G$1001,A18)</f>
        <v>339</v>
      </c>
      <c r="C18" s="11">
        <f>ROUND(AVERAGEIF([1]Data!$G$2:$G$1001,A18,[1]Data!$E$2:$E$1001),0)</f>
        <v>343781</v>
      </c>
      <c r="E18" s="12" t="s">
        <v>53</v>
      </c>
      <c r="F18" s="13">
        <f>COUNTIF([1]Data!$N$2:$N$1001,E18)</f>
        <v>179</v>
      </c>
      <c r="G18" s="14">
        <f>ROUND(AVERAGEIF([1]Data!$N$2:$N$1001,E18,[1]Data!$E$2:$E$1001),0)</f>
        <v>343481</v>
      </c>
    </row>
    <row r="19" spans="1:7" x14ac:dyDescent="0.35">
      <c r="A19" s="10" t="s">
        <v>38</v>
      </c>
      <c r="B19" s="4">
        <f>COUNTIF([1]Data!$G$2:$G$1001,A19)</f>
        <v>174</v>
      </c>
      <c r="C19" s="11">
        <f>ROUND(AVERAGEIF([1]Data!$G$2:$G$1001,A19,[1]Data!$E$2:$E$1001),0)</f>
        <v>396186</v>
      </c>
    </row>
    <row r="20" spans="1:7" ht="15" thickBot="1" x14ac:dyDescent="0.4">
      <c r="A20" s="12" t="s">
        <v>24</v>
      </c>
      <c r="B20" s="13">
        <f>COUNTIF([1]Data!$G$2:$G$1001,A20)</f>
        <v>253</v>
      </c>
      <c r="C20" s="14">
        <f>ROUND(AVERAGEIF([1]Data!$G$2:$G$1001,A20,[1]Data!$E$2:$E$1001),0)</f>
        <v>354709</v>
      </c>
    </row>
    <row r="22" spans="1:7" ht="15" thickBot="1" x14ac:dyDescent="0.4"/>
    <row r="23" spans="1:7" ht="15.5" x14ac:dyDescent="0.35">
      <c r="A23" s="5" t="s">
        <v>1071</v>
      </c>
      <c r="B23" s="6"/>
      <c r="C23" s="7"/>
      <c r="E23" s="5" t="s">
        <v>1072</v>
      </c>
      <c r="F23" s="6"/>
      <c r="G23" s="7"/>
    </row>
    <row r="24" spans="1:7" x14ac:dyDescent="0.35">
      <c r="A24" s="8" t="s">
        <v>1066</v>
      </c>
      <c r="B24" s="3" t="s">
        <v>1067</v>
      </c>
      <c r="C24" s="9" t="s">
        <v>1068</v>
      </c>
      <c r="E24" s="8" t="s">
        <v>1066</v>
      </c>
      <c r="F24" s="3" t="s">
        <v>1067</v>
      </c>
      <c r="G24" s="9" t="s">
        <v>1068</v>
      </c>
    </row>
    <row r="25" spans="1:7" x14ac:dyDescent="0.35">
      <c r="A25" s="10" t="s">
        <v>54</v>
      </c>
      <c r="B25" s="4">
        <f>COUNTIF([1]Data!$P$2:$P$1001,A25)</f>
        <v>148</v>
      </c>
      <c r="C25" s="11">
        <f>ROUND(AVERAGEIF([1]Data!$P$2:$P$1001,A25,[1]Data!$E$2:$E$1001),0)</f>
        <v>597904</v>
      </c>
      <c r="E25" s="10" t="s">
        <v>23</v>
      </c>
      <c r="F25" s="4">
        <f>COUNTIF([1]Data!$F$2:$F$1001,E25)</f>
        <v>183</v>
      </c>
      <c r="G25" s="11">
        <f>ROUND(AVERAGEIF([1]Data!$F$2:$F$1001,E25,[1]Data!$E$2:$E$1001),0)</f>
        <v>429705</v>
      </c>
    </row>
    <row r="26" spans="1:7" x14ac:dyDescent="0.35">
      <c r="A26" s="10" t="s">
        <v>29</v>
      </c>
      <c r="B26" s="4">
        <f>COUNTIF([1]Data!$P$2:$P$1001,A26)</f>
        <v>630</v>
      </c>
      <c r="C26" s="11">
        <f>ROUND(AVERAGEIF([1]Data!$P$2:$P$1001,A26,[1]Data!$E$2:$E$1001),0)</f>
        <v>337806</v>
      </c>
      <c r="E26" s="10" t="s">
        <v>1060</v>
      </c>
      <c r="F26" s="4">
        <f>COUNTIF([1]Data!$F$2:$F$1001,E26)</f>
        <v>603</v>
      </c>
      <c r="G26" s="11">
        <f>ROUND(AVERAGEIF([1]Data!$F$2:$F$1001,E26,[1]Data!$E$2:$E$1001),0)</f>
        <v>350662</v>
      </c>
    </row>
    <row r="27" spans="1:7" x14ac:dyDescent="0.35">
      <c r="A27" s="10" t="s">
        <v>105</v>
      </c>
      <c r="B27" s="4">
        <f>COUNTIF([1]Data!$P$2:$P$1001,A27)</f>
        <v>22</v>
      </c>
      <c r="C27" s="11">
        <f>ROUND(AVERAGEIF([1]Data!$P$2:$P$1001,A27,[1]Data!$E$2:$E$1001),0)</f>
        <v>301965</v>
      </c>
      <c r="E27" s="10" t="s">
        <v>1063</v>
      </c>
      <c r="F27" s="4">
        <f>COUNTIF([1]Data!$F$2:$F$1001,E27)</f>
        <v>103</v>
      </c>
      <c r="G27" s="11">
        <f>ROUND(AVERAGEIF([1]Data!$F$2:$F$1001,E27,[1]Data!$E$2:$E$1001),0)</f>
        <v>372244</v>
      </c>
    </row>
    <row r="28" spans="1:7" ht="15" thickBot="1" x14ac:dyDescent="0.4">
      <c r="A28" s="12" t="s">
        <v>39</v>
      </c>
      <c r="B28" s="13">
        <f>COUNTIF([1]Data!$P$2:$P$1001,A28)</f>
        <v>200</v>
      </c>
      <c r="C28" s="14">
        <f>ROUND(AVERAGEIF([1]Data!$P$2:$P$1001,A28,[1]Data!$E$2:$E$1001),0)</f>
        <v>259437</v>
      </c>
      <c r="E28" s="10" t="s">
        <v>1061</v>
      </c>
      <c r="F28" s="4">
        <f>COUNTIF([1]Data!$F$2:$F$1001,E28)</f>
        <v>63</v>
      </c>
      <c r="G28" s="11">
        <f>ROUND(AVERAGEIF([1]Data!$F$2:$F$1001,E28,[1]Data!$E$2:$E$1001),0)</f>
        <v>282932</v>
      </c>
    </row>
    <row r="29" spans="1:7" ht="15" thickBot="1" x14ac:dyDescent="0.4">
      <c r="E29" s="12" t="s">
        <v>1062</v>
      </c>
      <c r="F29" s="13">
        <f>COUNTIF([1]Data!$F$2:$F$1001,E29)</f>
        <v>48</v>
      </c>
      <c r="G29" s="14">
        <f>ROUND(AVERAGEIF([1]Data!$F$2:$F$1001,E29,[1]Data!$E$2:$E$1001),0)</f>
        <v>283074</v>
      </c>
    </row>
    <row r="31" spans="1:7" ht="15" thickBot="1" x14ac:dyDescent="0.4"/>
    <row r="32" spans="1:7" ht="15.5" x14ac:dyDescent="0.35">
      <c r="A32" s="5" t="s">
        <v>1073</v>
      </c>
      <c r="B32" s="6"/>
      <c r="C32" s="7"/>
      <c r="E32" s="5" t="s">
        <v>1074</v>
      </c>
      <c r="F32" s="6"/>
      <c r="G32" s="7"/>
    </row>
    <row r="33" spans="1:7" x14ac:dyDescent="0.35">
      <c r="A33" s="8" t="s">
        <v>1066</v>
      </c>
      <c r="B33" s="3" t="s">
        <v>1067</v>
      </c>
      <c r="C33" s="9" t="s">
        <v>1068</v>
      </c>
      <c r="E33" s="8" t="s">
        <v>1066</v>
      </c>
      <c r="F33" s="3" t="s">
        <v>1067</v>
      </c>
      <c r="G33" s="9" t="s">
        <v>1068</v>
      </c>
    </row>
    <row r="34" spans="1:7" x14ac:dyDescent="0.35">
      <c r="A34" s="10" t="s">
        <v>35</v>
      </c>
      <c r="B34" s="4">
        <f>COUNTIF([1]Data!$I$2:$I$1001,A34)</f>
        <v>310</v>
      </c>
      <c r="C34" s="11">
        <f>ROUND(AVERAGEIF([1]Data!$I$2:$I$1001,A34,[1]Data!$E$2:$E$1001),0)</f>
        <v>316555</v>
      </c>
      <c r="E34" s="10" t="s">
        <v>75</v>
      </c>
      <c r="F34" s="4">
        <f>COUNTIF([1]Data!$S$2:$S$1001,E34)</f>
        <v>37</v>
      </c>
      <c r="G34" s="11">
        <f>ROUND(AVERAGEIF([1]Data!$S$2:$S$1001,E34,[1]Data!$E$2:$E$1001),0)</f>
        <v>280595</v>
      </c>
    </row>
    <row r="35" spans="1:7" ht="15" thickBot="1" x14ac:dyDescent="0.4">
      <c r="A35" s="12" t="s">
        <v>25</v>
      </c>
      <c r="B35" s="13">
        <f>COUNTIF([1]Data!$I$2:$I$1001,A35)</f>
        <v>690</v>
      </c>
      <c r="C35" s="14">
        <f>ROUND(AVERAGEIF([1]Data!$I$2:$I$1001,A35,[1]Data!$E$2:$E$1001),0)</f>
        <v>379284</v>
      </c>
      <c r="E35" s="12" t="s">
        <v>30</v>
      </c>
      <c r="F35" s="13">
        <f>COUNTIF([1]Data!$S$2:$S$1001,E35)</f>
        <v>963</v>
      </c>
      <c r="G35" s="14">
        <f>ROUND(AVERAGEIF([1]Data!$S$2:$S$1001,E35,[1]Data!$E$2:$E$1001),0)</f>
        <v>362883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DFFF7-403D-42F6-9A00-A08D430E0B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2026-07-18T20:24:25Z</dcterms:created>
  <dcterms:modified xsi:type="dcterms:W3CDTF">2026-07-23T16:06:49Z</dcterms:modified>
</cp:coreProperties>
</file>